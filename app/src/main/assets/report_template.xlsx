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فرم نقشه برداری" sheetId="1" r:id="rId1"/>
    <sheet name="COD" sheetId="2" r:id="rId2" state="hidden"/>
    <sheet name="DATA" sheetId="3" r:id="rId3" state="hidden"/>
    <sheet name="POINT" sheetId="4" r:id="rId4" state="hidden"/>
    <sheet name="وضعیت" sheetId="5" r:id="rId5" state="hidden"/>
  </sheets>
  <definedNames>
    <definedName name="_xlnm.Print_Area" localSheetId="2">DATA!$A$1:$H$16</definedName>
    <definedName name="_xlnm.Print_Area" localSheetId="0">'فرم نقشه برداری'!$A$1:$U$77</definedName>
  </definedNames>
  <calcPr iterateDelta="1.0E-4"/>
</workbook>
</file>

<file path=xl/sharedStrings.xml><?xml version="1.0" encoding="utf-8"?>
<sst xmlns="http://schemas.openxmlformats.org/spreadsheetml/2006/main" uniqueCount="446" count="446">
  <si>
    <t xml:space="preserve">                        گزارش عملیات نقشه برداری                         میسر بهار</t>
  </si>
  <si>
    <t>تاریخ:</t>
  </si>
  <si>
    <t>1405/</t>
  </si>
  <si>
    <t>کد فرم
TF 100</t>
  </si>
  <si>
    <t>پروژه احداث تونل و کانال کابل ارتباطی</t>
  </si>
  <si>
    <t>ایام :</t>
  </si>
  <si>
    <t>نام شفت</t>
  </si>
  <si>
    <t>مانده</t>
  </si>
  <si>
    <t xml:space="preserve"> سمت</t>
  </si>
  <si>
    <t>فعالیت</t>
  </si>
  <si>
    <t>کیلومتراژ قبلی</t>
  </si>
  <si>
    <t>کیلومتراژ فعلی</t>
  </si>
  <si>
    <t>پیشرفت روزانه</t>
  </si>
  <si>
    <t>پیشرفت  از شفت</t>
  </si>
  <si>
    <t>شفت 1</t>
  </si>
  <si>
    <t>اتصال</t>
  </si>
  <si>
    <t>جبهه کاری حفاری</t>
  </si>
  <si>
    <t>انحراف</t>
  </si>
  <si>
    <t>نصب 3D یا قاب</t>
  </si>
  <si>
    <t>ریزش</t>
  </si>
  <si>
    <t>`</t>
  </si>
  <si>
    <t>اجرای شاتکریت نهائی</t>
  </si>
  <si>
    <t>شفت 2</t>
  </si>
  <si>
    <t>شفت 3</t>
  </si>
  <si>
    <t>شفت3</t>
  </si>
  <si>
    <t>شفت 4</t>
  </si>
  <si>
    <t>پیشرفت</t>
  </si>
  <si>
    <t>مسیر ده دی</t>
  </si>
  <si>
    <t>پیشرفت کل</t>
  </si>
  <si>
    <t>مانده حفاری</t>
  </si>
  <si>
    <t>پست ارگ</t>
  </si>
  <si>
    <t>نقشه بردار:</t>
  </si>
  <si>
    <t>سرپرست کارگاه:</t>
  </si>
  <si>
    <t>DIM</t>
  </si>
  <si>
    <t>کد</t>
  </si>
  <si>
    <t>شماره</t>
  </si>
  <si>
    <t>مختصات ک ک</t>
  </si>
  <si>
    <t>درصد</t>
  </si>
  <si>
    <t>موقعیت ثابت خاک</t>
  </si>
  <si>
    <t>مختصات ک ب</t>
  </si>
  <si>
    <t>مختصات خام</t>
  </si>
  <si>
    <t xml:space="preserve">مختصات ثابت </t>
  </si>
  <si>
    <t>مختصات ثایت خام</t>
  </si>
  <si>
    <t>تایخ</t>
  </si>
  <si>
    <t>06/07</t>
  </si>
  <si>
    <t>1405</t>
  </si>
  <si>
    <t>نقطه</t>
  </si>
  <si>
    <t>کیلومتراژ</t>
  </si>
  <si>
    <t>X</t>
  </si>
  <si>
    <t>Y</t>
  </si>
  <si>
    <t>Z</t>
  </si>
  <si>
    <t>روز</t>
  </si>
  <si>
    <t>تاریخ</t>
  </si>
  <si>
    <t xml:space="preserve">ایام هفته : </t>
  </si>
  <si>
    <t>شنبه</t>
  </si>
  <si>
    <t>01/01</t>
  </si>
  <si>
    <t>شفت</t>
  </si>
  <si>
    <t>سمت</t>
  </si>
  <si>
    <t>نقطه قبلی</t>
  </si>
  <si>
    <t>طول</t>
  </si>
  <si>
    <t>نقطه فعلی</t>
  </si>
  <si>
    <t xml:space="preserve">طول </t>
  </si>
  <si>
    <t>یکشنبه</t>
  </si>
  <si>
    <t>01/02</t>
  </si>
  <si>
    <t>1-0</t>
  </si>
  <si>
    <t>دوشنبه</t>
  </si>
  <si>
    <t>01/03</t>
  </si>
  <si>
    <t>سه شنبه</t>
  </si>
  <si>
    <t>01/04</t>
  </si>
  <si>
    <t>چهارشنبه</t>
  </si>
  <si>
    <t>01/05</t>
  </si>
  <si>
    <t>1-2</t>
  </si>
  <si>
    <t>پنج شنبه</t>
  </si>
  <si>
    <t>01/06</t>
  </si>
  <si>
    <t>جمعه</t>
  </si>
  <si>
    <t>01/07</t>
  </si>
  <si>
    <t>01/08</t>
  </si>
  <si>
    <t>2-1</t>
  </si>
  <si>
    <t>01/09</t>
  </si>
  <si>
    <t>01/10</t>
  </si>
  <si>
    <t>01/11</t>
  </si>
  <si>
    <t>2-3</t>
  </si>
  <si>
    <t>01/12</t>
  </si>
  <si>
    <t>01/13</t>
  </si>
  <si>
    <t>01/14</t>
  </si>
  <si>
    <t>3-2</t>
  </si>
  <si>
    <t>01/15</t>
  </si>
  <si>
    <t>01/16</t>
  </si>
  <si>
    <t>01/17</t>
  </si>
  <si>
    <t>3-4</t>
  </si>
  <si>
    <t>01/18</t>
  </si>
  <si>
    <t>01/19</t>
  </si>
  <si>
    <t>01/20</t>
  </si>
  <si>
    <t>4-3</t>
  </si>
  <si>
    <t>01/21</t>
  </si>
  <si>
    <t>01/28</t>
  </si>
  <si>
    <t>01/29</t>
  </si>
  <si>
    <t>4-5</t>
  </si>
  <si>
    <t>01/30</t>
  </si>
  <si>
    <t>01/31</t>
  </si>
  <si>
    <t>02/01</t>
  </si>
  <si>
    <t>02/02</t>
  </si>
  <si>
    <t>h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</si>
  <si>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</si>
  <si>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</si>
  <si>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</si>
  <si>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</si>
  <si>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</si>
  <si>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</si>
  <si>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</si>
  <si>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</si>
  <si>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02/11</t>
  </si>
  <si>
    <t>02/12</t>
  </si>
  <si>
    <t>02/13</t>
  </si>
  <si>
    <t>02/14</t>
  </si>
  <si>
    <t>02/15</t>
  </si>
  <si>
    <t>02/16</t>
  </si>
  <si>
    <t>02/17</t>
  </si>
  <si>
    <t>02/18</t>
  </si>
  <si>
    <t>02/19</t>
  </si>
  <si>
    <t>02/20</t>
  </si>
  <si>
    <t>02/21</t>
  </si>
  <si>
    <t>02/22</t>
  </si>
  <si>
    <t>02/23</t>
  </si>
  <si>
    <t>02/24</t>
  </si>
  <si>
    <t>02/25</t>
  </si>
  <si>
    <t>02/26</t>
  </si>
  <si>
    <t>02/27</t>
  </si>
  <si>
    <t>02/28</t>
  </si>
  <si>
    <t>02/29</t>
  </si>
  <si>
    <t>02/30</t>
  </si>
  <si>
    <t>02/31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</si>
  <si>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</si>
  <si>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</si>
  <si>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</si>
  <si>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</si>
  <si>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</si>
  <si>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</si>
  <si>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</si>
  <si>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</si>
  <si>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</si>
  <si>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</si>
  <si>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03/11</t>
  </si>
  <si>
    <t>03/12</t>
  </si>
  <si>
    <t>03/13</t>
  </si>
  <si>
    <t>03/14</t>
  </si>
  <si>
    <t>03/15</t>
  </si>
  <si>
    <t>03/16</t>
  </si>
  <si>
    <t>03/17</t>
  </si>
  <si>
    <t>03/18</t>
  </si>
  <si>
    <t>03/19</t>
  </si>
  <si>
    <t>03/20</t>
  </si>
  <si>
    <t>03/21</t>
  </si>
  <si>
    <t>03/22</t>
  </si>
  <si>
    <t>03/23</t>
  </si>
  <si>
    <t>03/24</t>
  </si>
  <si>
    <t>03/25</t>
  </si>
  <si>
    <t>03/26</t>
  </si>
  <si>
    <t>03/27</t>
  </si>
  <si>
    <t>03/28</t>
  </si>
  <si>
    <t>03/29</t>
  </si>
  <si>
    <t>03/30</t>
  </si>
  <si>
    <t>03/31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</si>
  <si>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</si>
  <si>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</si>
  <si>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</si>
  <si>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</si>
  <si>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</si>
  <si>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</si>
  <si>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</si>
  <si>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</si>
  <si>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</si>
  <si>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</si>
  <si>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</si>
  <si>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</si>
  <si>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</si>
  <si>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</si>
  <si>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</si>
  <si>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</si>
  <si>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</si>
  <si>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</si>
  <si>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</si>
  <si>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</si>
  <si>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</si>
  <si>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</si>
  <si>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</si>
  <si>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</si>
  <si>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</si>
  <si>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</si>
  <si>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</si>
  <si>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</si>
  <si>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</si>
  <si>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</si>
  <si>
    <t>04/31</t>
  </si>
  <si>
    <t>05/01</t>
  </si>
  <si>
    <t>05/02</t>
  </si>
  <si>
    <t>05/03</t>
  </si>
  <si>
    <t>05/04</t>
  </si>
  <si>
    <t>05/05</t>
  </si>
  <si>
    <t>05/06</t>
  </si>
  <si>
    <t>05/07</t>
  </si>
  <si>
    <t>05/08</t>
  </si>
  <si>
    <t>05/09</t>
  </si>
  <si>
    <t>05/10</t>
  </si>
  <si>
    <t>05/11</t>
  </si>
  <si>
    <t>05/12</t>
  </si>
  <si>
    <t>05/13</t>
  </si>
  <si>
    <t>05/14</t>
  </si>
  <si>
    <t>05/15</t>
  </si>
  <si>
    <t>05/16</t>
  </si>
  <si>
    <t>05/17</t>
  </si>
  <si>
    <t>05/18</t>
  </si>
  <si>
    <t>05/19</t>
  </si>
  <si>
    <t>05/20</t>
  </si>
  <si>
    <t>05/21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</si>
  <si>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</si>
  <si>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</si>
  <si>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</si>
  <si>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</si>
  <si>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</si>
  <si>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</si>
  <si>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</si>
  <si>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</si>
  <si>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</si>
  <si>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</si>
  <si>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</si>
  <si>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</si>
  <si>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</si>
  <si>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</si>
  <si>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</si>
  <si>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</si>
  <si>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</si>
  <si>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</si>
  <si>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</si>
  <si>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</si>
  <si>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</si>
  <si>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</si>
  <si>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</si>
  <si>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</si>
  <si>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</si>
  <si>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</si>
  <si>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</si>
  <si>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</si>
  <si>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</si>
  <si>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</si>
  <si>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</si>
  <si>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</si>
  <si>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</si>
  <si>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</si>
  <si>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</si>
  <si>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</si>
  <si>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</si>
  <si>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</si>
  <si>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</si>
  <si>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06/31</t>
  </si>
  <si>
    <t>07/01</t>
  </si>
  <si>
    <t>07/02</t>
  </si>
  <si>
    <t>07/03</t>
  </si>
  <si>
    <t>07/04</t>
  </si>
  <si>
    <t>07/05</t>
  </si>
  <si>
    <t>07/06</t>
  </si>
  <si>
    <t>07/07</t>
  </si>
  <si>
    <t>07/08</t>
  </si>
  <si>
    <t>07/09</t>
  </si>
  <si>
    <t>07/10</t>
  </si>
  <si>
    <t>07/11</t>
  </si>
  <si>
    <t>07/12</t>
  </si>
  <si>
    <t>07/13</t>
  </si>
  <si>
    <t>07/14</t>
  </si>
  <si>
    <t>07/15</t>
  </si>
  <si>
    <t>07/16</t>
  </si>
  <si>
    <t>07/17</t>
  </si>
  <si>
    <t>07/18</t>
  </si>
  <si>
    <t>07/19</t>
  </si>
  <si>
    <t>07/20</t>
  </si>
  <si>
    <t>07/21</t>
  </si>
  <si>
    <t>07/22</t>
  </si>
  <si>
    <t>07/23</t>
  </si>
  <si>
    <t>07/24</t>
  </si>
  <si>
    <t>07/25</t>
  </si>
  <si>
    <t>07/26</t>
  </si>
  <si>
    <t>07/27</t>
  </si>
  <si>
    <t>07/28</t>
  </si>
  <si>
    <t>07/29</t>
  </si>
  <si>
    <t>07/30</t>
  </si>
  <si>
    <t>08/01</t>
  </si>
  <si>
    <t>08/02</t>
  </si>
  <si>
    <t>08/03</t>
  </si>
  <si>
    <t>08/04</t>
  </si>
  <si>
    <t>08/05</t>
  </si>
  <si>
    <t>08/06</t>
  </si>
  <si>
    <t>08/07</t>
  </si>
  <si>
    <t>08/08</t>
  </si>
  <si>
    <t>08/09</t>
  </si>
  <si>
    <t>08/10</t>
  </si>
  <si>
    <t>08/11</t>
  </si>
  <si>
    <t>08/12</t>
  </si>
  <si>
    <t>08/13</t>
  </si>
  <si>
    <t>08/14</t>
  </si>
  <si>
    <t>08/15</t>
  </si>
  <si>
    <t>08/16</t>
  </si>
  <si>
    <t>08/17</t>
  </si>
  <si>
    <t>08/18</t>
  </si>
  <si>
    <t>08/19</t>
  </si>
  <si>
    <t>08/20</t>
  </si>
  <si>
    <t>08/21</t>
  </si>
  <si>
    <t>08/22</t>
  </si>
  <si>
    <t>08/23</t>
  </si>
  <si>
    <t>08/24</t>
  </si>
  <si>
    <t>08/25</t>
  </si>
  <si>
    <t>08/26</t>
  </si>
  <si>
    <t>08/27</t>
  </si>
  <si>
    <t>08/28</t>
  </si>
  <si>
    <t>08/29</t>
  </si>
  <si>
    <t>08/30</t>
  </si>
  <si>
    <t>09/01</t>
  </si>
  <si>
    <t>09/02</t>
  </si>
  <si>
    <t>09/03</t>
  </si>
  <si>
    <t>09/04</t>
  </si>
  <si>
    <t>09/05</t>
  </si>
  <si>
    <t>09/06</t>
  </si>
  <si>
    <t>09/07</t>
  </si>
  <si>
    <t>09/08</t>
  </si>
  <si>
    <t>09/09</t>
  </si>
  <si>
    <t>09/10</t>
  </si>
  <si>
    <t>09/11</t>
  </si>
  <si>
    <t>09/12</t>
  </si>
  <si>
    <t>09/13</t>
  </si>
  <si>
    <t>09/14</t>
  </si>
  <si>
    <t>09/15</t>
  </si>
  <si>
    <t>09/16</t>
  </si>
  <si>
    <t>09/17</t>
  </si>
  <si>
    <t>09/18</t>
  </si>
  <si>
    <t>09/19</t>
  </si>
  <si>
    <t>09/20</t>
  </si>
  <si>
    <t>09/21</t>
  </si>
  <si>
    <t>09/22</t>
  </si>
  <si>
    <t>09/23</t>
  </si>
  <si>
    <t>09/24</t>
  </si>
  <si>
    <t>09/25</t>
  </si>
  <si>
    <t>09/26</t>
  </si>
  <si>
    <t>09/27</t>
  </si>
  <si>
    <t>09/28</t>
  </si>
  <si>
    <t>09/29</t>
  </si>
  <si>
    <t>09/30</t>
  </si>
  <si>
    <t>10/01</t>
  </si>
  <si>
    <t>10/02</t>
  </si>
  <si>
    <t>10/03</t>
  </si>
  <si>
    <t>10/04</t>
  </si>
  <si>
    <t>10/05</t>
  </si>
  <si>
    <t>10/06</t>
  </si>
  <si>
    <t>10/07</t>
  </si>
  <si>
    <t>10/08</t>
  </si>
  <si>
    <t>10/09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</si>
  <si>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</si>
  <si>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</si>
  <si>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</si>
  <si>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</si>
  <si>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</si>
  <si>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</si>
  <si>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</si>
  <si>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</si>
  <si>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</si>
  <si>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</si>
  <si>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</si>
  <si>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</si>
  <si>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</si>
  <si>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</si>
  <si>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10/25</t>
  </si>
  <si>
    <t>10/26</t>
  </si>
  <si>
    <t>10/27</t>
  </si>
  <si>
    <t>10/28</t>
  </si>
  <si>
    <t>10/29</t>
  </si>
  <si>
    <t>10/30</t>
  </si>
  <si>
    <t>11/01</t>
  </si>
  <si>
    <t>11/02</t>
  </si>
  <si>
    <t>11/03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</si>
  <si>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</si>
  <si>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</si>
  <si>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</si>
  <si>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</si>
  <si>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</si>
  <si>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</si>
  <si>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</si>
  <si>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</si>
  <si>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</si>
  <si>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</si>
  <si>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</si>
  <si>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</si>
  <si>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</si>
  <si>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</si>
  <si>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</si>
  <si>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</si>
  <si>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</si>
  <si>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</si>
  <si>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</si>
  <si>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</si>
  <si>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</si>
  <si>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</si>
  <si>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</si>
  <si>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</si>
  <si>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</si>
  <si>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</si>
  <si>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</si>
  <si>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12/01</t>
  </si>
  <si>
    <t>12/02</t>
  </si>
  <si>
    <t>12/03</t>
  </si>
  <si>
    <t>12/04</t>
  </si>
  <si>
    <t>12/05</t>
  </si>
  <si>
    <t>12/06</t>
  </si>
  <si>
    <t>12/07</t>
  </si>
  <si>
    <t>12/08</t>
  </si>
  <si>
    <t>12/09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</si>
  <si>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</si>
  <si>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</si>
  <si>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</si>
  <si>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</si>
  <si>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</si>
  <si>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</si>
  <si>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</si>
  <si>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</si>
  <si>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</si>
  <si>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</si>
  <si>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پنجشنبه</t>
  </si>
  <si>
    <t>12/20</t>
  </si>
  <si>
    <t>12/21</t>
  </si>
  <si>
    <t>12/22</t>
  </si>
  <si>
    <t>يكشنبه</t>
  </si>
  <si>
    <t>12/23</t>
  </si>
  <si>
    <t>12/24</t>
  </si>
  <si>
    <t>سه شنبه</t>
  </si>
  <si>
    <t>12/25</t>
  </si>
  <si>
    <t>12/26</t>
  </si>
  <si>
    <t>12/27</t>
  </si>
  <si>
    <t>12/28</t>
  </si>
  <si>
    <t>12/29</t>
  </si>
  <si>
    <t>کیلومتر و فواصل شفت</t>
  </si>
  <si>
    <t>سه راهی</t>
  </si>
  <si>
    <t>&lt;KM&gt;</t>
  </si>
  <si>
    <t>شفت 5</t>
  </si>
  <si>
    <t>شفت 6</t>
  </si>
  <si>
    <t>شفت 7</t>
  </si>
  <si>
    <t>کیلومتر سینه کار</t>
  </si>
  <si>
    <r>
      <rPr>
        <charset val="1"/>
        <sz val="11"/>
        <color rgb="FF000000"/>
        <rFont val="Calibri"/>
      </rPr>
      <t>&lt;</t>
    </r>
    <r>
      <rPr>
        <sz val="11"/>
        <color rgb="FF000000"/>
        <rFont val="FreeSans"/>
      </rPr>
      <t xml:space="preserve">پیشرفت </t>
    </r>
    <r>
      <rPr>
        <charset val="1"/>
        <sz val="11"/>
        <color rgb="FF000000"/>
        <rFont val="Calibri"/>
      </rPr>
      <t>&gt;</t>
    </r>
  </si>
  <si>
    <t>متراژ پیشرفت</t>
  </si>
  <si>
    <t>نصب یک عدد قاب</t>
  </si>
</sst>
</file>

<file path=xl/styles.xml><?xml version="1.0" encoding="utf-8"?>
<styleSheet xmlns="http://schemas.openxmlformats.org/spreadsheetml/2006/main">
  <numFmts count="9">
    <numFmt numFmtId="0" formatCode="General"/>
    <numFmt numFmtId="49" formatCode="@"/>
    <numFmt numFmtId="4" formatCode="#,##0.00"/>
    <numFmt numFmtId="1" formatCode="0"/>
    <numFmt numFmtId="3" formatCode="#,##0"/>
    <numFmt numFmtId="164" formatCode="#,##0.000000000000"/>
    <numFmt numFmtId="2" formatCode="0.00"/>
    <numFmt numFmtId="165" formatCode="#,##0.0000"/>
    <numFmt numFmtId="166" formatCode="0.000"/>
  </numFmts>
  <fonts count="27">
    <font>
      <name val="Calibri"/>
      <sz val="11"/>
    </font>
    <font>
      <name val="Calibri"/>
      <charset val="1"/>
      <sz val="11"/>
    </font>
    <font>
      <name val="B Nazanin"/>
      <b/>
      <charset val="178"/>
      <sz val="12"/>
      <color rgb="FF000000"/>
    </font>
    <font>
      <name val="B Nazanin"/>
      <b/>
      <charset val="178"/>
      <sz val="22"/>
      <color rgb="FF000000"/>
    </font>
    <font>
      <name val="B Nazanin"/>
      <b/>
      <charset val="178"/>
      <sz val="14"/>
      <color rgb="FF000000"/>
    </font>
    <font>
      <name val="FreeSans"/>
      <b/>
      <charset val="1"/>
      <sz val="11"/>
      <color rgb="FF000000"/>
    </font>
    <font>
      <name val="Calibri"/>
      <charset val="1"/>
      <sz val="11"/>
      <color rgb="FF000000"/>
    </font>
    <font>
      <name val="B Nazanin"/>
      <b/>
      <charset val="178"/>
      <sz val="11"/>
      <color rgb="FF000000"/>
    </font>
    <font>
      <name val="B Nazanin"/>
      <b/>
      <charset val="178"/>
      <sz val="13"/>
      <color rgb="FF000000"/>
    </font>
    <font>
      <name val="B Nazanin"/>
      <b/>
      <charset val="178"/>
      <sz val="16"/>
      <color rgb="FF000000"/>
    </font>
    <font>
      <name val="B Nazanin"/>
      <b/>
      <charset val="178"/>
      <sz val="15"/>
      <color rgb="FF000000"/>
    </font>
    <font>
      <name val="FreeSans"/>
      <b/>
      <charset val="1"/>
      <sz val="16"/>
      <color rgb="FF000000"/>
    </font>
    <font>
      <name val="B Nazanin"/>
      <b/>
      <charset val="178"/>
      <sz val="18"/>
      <color rgb="FF000000"/>
    </font>
    <font>
      <name val="B Nazanin"/>
      <b/>
      <charset val="178"/>
      <sz val="14"/>
    </font>
    <font>
      <name val="Calibri"/>
      <b/>
      <charset val="1"/>
      <sz val="48"/>
      <color rgb="FF000000"/>
    </font>
    <font>
      <name val="Calibri"/>
      <charset val="1"/>
      <sz val="11"/>
      <color rgb="FFFFFFFF"/>
    </font>
    <font>
      <name val="Calibri"/>
      <charset val="1"/>
      <sz val="12"/>
      <color rgb="FF000000"/>
    </font>
    <font>
      <name val="Calibri"/>
      <b/>
      <charset val="1"/>
      <sz val="22"/>
      <color rgb="FF000000"/>
    </font>
    <font>
      <name val="FreeSans"/>
      <charset val="1"/>
      <sz val="11"/>
    </font>
    <font>
      <name val="Calibri"/>
      <charset val="1"/>
      <sz val="11"/>
      <color rgb="FFFF0000"/>
    </font>
    <font>
      <name val="Calibri"/>
      <charset val="1"/>
      <sz val="11"/>
      <color rgb="FF2F5597"/>
    </font>
    <font>
      <name val="Noto Sans"/>
      <charset val="1"/>
      <sz val="11"/>
    </font>
    <font>
      <name val="Calibri"/>
      <b/>
      <charset val="1"/>
      <sz val="24"/>
    </font>
    <font>
      <name val="Calibri"/>
      <b/>
      <charset val="1"/>
      <sz val="11"/>
    </font>
    <font>
      <name val="Arial"/>
      <charset val="1"/>
      <sz val="11"/>
    </font>
    <font>
      <name val="FreeSans"/>
      <b/>
      <charset val="1"/>
      <sz val="11"/>
      <color rgb="FFFFFFFF"/>
    </font>
    <font>
      <name val="FreeSans"/>
      <charset val="1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CFCDCD"/>
        <bgColor rgb="FFBFBFBF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BFBFBF"/>
        <bgColor rgb="FFCFCDCD"/>
      </patternFill>
    </fill>
    <fill>
      <patternFill patternType="solid">
        <fgColor rgb="FFA5A5A5"/>
        <bgColor rgb="FFBFBFBF"/>
      </patternFill>
    </fill>
  </fills>
  <borders count="38">
    <border>
      <left/>
      <right/>
      <top/>
      <bottom/>
      <diagonal/>
    </border>
    <border>
      <left style="medium">
        <color indexed="0"/>
      </left>
      <right/>
      <top style="medium">
        <color indexed="0"/>
      </top>
      <bottom/>
      <diagonal/>
    </border>
    <border>
      <left style="thin">
        <color indexed="0"/>
      </left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thin">
        <color indexed="0"/>
      </right>
      <top style="medium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thin">
        <color indexed="0"/>
      </left>
      <right/>
      <top/>
      <bottom style="medium">
        <color indexed="0"/>
      </bottom>
      <diagonal/>
    </border>
    <border>
      <left/>
      <right/>
      <top/>
      <bottom style="medium">
        <color indexed="0"/>
      </bottom>
      <diagonal/>
    </border>
    <border>
      <left/>
      <right style="thin">
        <color indexed="0"/>
      </right>
      <top/>
      <bottom/>
      <diagonal/>
    </border>
    <border>
      <left style="medium">
        <color indexed="0"/>
      </left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/>
      <diagonal/>
    </border>
    <border>
      <left style="thin">
        <color indexed="0"/>
      </left>
      <right/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0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medium">
        <color indexed="0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/>
      <bottom style="hair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hair">
        <color indexed="0"/>
      </top>
      <bottom style="hair">
        <color indexed="0"/>
      </bottom>
      <diagonal/>
    </border>
    <border>
      <left style="thin">
        <color indexed="0"/>
      </left>
      <right/>
      <top style="hair">
        <color indexed="0"/>
      </top>
      <bottom/>
      <diagonal/>
    </border>
    <border>
      <left/>
      <right style="thin">
        <color indexed="0"/>
      </right>
      <top style="hair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/>
      <top/>
      <bottom/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/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1" fillId="0" borderId="0" xfId="0">
      <alignment vertical="center"/>
    </xf>
    <xf numFmtId="0" fontId="1" fillId="0" borderId="0" xfId="0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49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>
      <alignment vertical="center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9" fillId="0" borderId="1" xfId="0" applyFont="1" applyBorder="1" applyAlignment="1">
      <alignment horizontal="center" vertical="center" textRotation="90"/>
    </xf>
    <xf numFmtId="0" fontId="10" fillId="3" borderId="2" xfId="0" applyFont="1" applyBorder="1" applyAlignment="1">
      <alignment horizontal="center" vertical="center" textRotation="90"/>
    </xf>
    <xf numFmtId="4" fontId="2" fillId="0" borderId="2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4" fontId="4" fillId="0" borderId="14" xfId="0" applyFont="1" applyBorder="1" applyAlignment="1">
      <alignment horizontal="center" vertical="center" wrapText="1"/>
    </xf>
    <xf numFmtId="4" fontId="4" fillId="0" borderId="12" xfId="0" applyFont="1" applyBorder="1" applyAlignment="1">
      <alignment horizontal="center" vertical="center"/>
    </xf>
    <xf numFmtId="4" fontId="4" fillId="0" borderId="14" xfId="0" applyFont="1" applyBorder="1" applyAlignment="1">
      <alignment horizontal="center" vertical="center"/>
    </xf>
    <xf numFmtId="4" fontId="2" fillId="0" borderId="15" xfId="0" applyFont="1" applyBorder="1" applyAlignment="1">
      <alignment horizontal="right" vertical="top" textRotation="90"/>
    </xf>
    <xf numFmtId="1" fontId="4" fillId="2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4" fontId="2" fillId="0" borderId="17" xfId="0" applyFont="1" applyBorder="1" applyAlignment="1">
      <alignment horizontal="center" vertical="center" textRotation="137"/>
    </xf>
    <xf numFmtId="3" fontId="9" fillId="0" borderId="17" xfId="0" applyFont="1" applyBorder="1" applyAlignment="1">
      <alignment horizontal="center" vertical="center"/>
    </xf>
    <xf numFmtId="4" fontId="1" fillId="0" borderId="0" xfId="0" applyAlignment="1">
      <alignment vertical="bottom"/>
    </xf>
    <xf numFmtId="4" fontId="1" fillId="0" borderId="0" xfId="0">
      <alignment vertical="center"/>
    </xf>
    <xf numFmtId="0" fontId="2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4" fontId="4" fillId="0" borderId="18" xfId="0" applyFont="1" applyBorder="1" applyAlignment="1">
      <alignment horizontal="center" vertical="center" wrapText="1"/>
    </xf>
    <xf numFmtId="4" fontId="4" fillId="0" borderId="18" xfId="0" applyFont="1" applyBorder="1" applyAlignment="1">
      <alignment horizontal="center" vertical="center"/>
    </xf>
    <xf numFmtId="3" fontId="12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bottom"/>
    </xf>
    <xf numFmtId="1" fontId="4" fillId="2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4" fontId="4" fillId="0" borderId="19" xfId="0" applyFont="1" applyBorder="1" applyAlignment="1">
      <alignment horizontal="center" vertical="center" wrapText="1"/>
    </xf>
    <xf numFmtId="4" fontId="4" fillId="0" borderId="19" xfId="0" applyFont="1" applyBorder="1" applyAlignment="1">
      <alignment horizontal="center" vertical="center"/>
    </xf>
    <xf numFmtId="4" fontId="2" fillId="0" borderId="20" xfId="0" applyFont="1" applyBorder="1" applyAlignment="1">
      <alignment horizontal="center" vertical="center" textRotation="137"/>
    </xf>
    <xf numFmtId="3" fontId="9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" fontId="13" fillId="0" borderId="14" xfId="0" applyFont="1" applyBorder="1" applyAlignment="1">
      <alignment horizontal="center" vertical="center" wrapText="1"/>
    </xf>
    <xf numFmtId="4" fontId="4" fillId="0" borderId="22" xfId="0" applyFont="1" applyBorder="1" applyAlignment="1">
      <alignment horizontal="center" vertical="center"/>
    </xf>
    <xf numFmtId="4" fontId="4" fillId="0" borderId="21" xfId="0" applyFont="1" applyBorder="1" applyAlignment="1">
      <alignment horizontal="center" vertical="center"/>
    </xf>
    <xf numFmtId="4" fontId="2" fillId="0" borderId="23" xfId="0" applyFont="1" applyBorder="1" applyAlignment="1">
      <alignment horizontal="right" vertical="top" textRotation="90"/>
    </xf>
    <xf numFmtId="1" fontId="4" fillId="2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4" fontId="2" fillId="0" borderId="17" xfId="0" applyFont="1" applyBorder="1" applyAlignment="1">
      <alignment horizontal="right" vertical="top" textRotation="137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" fontId="4" fillId="0" borderId="25" xfId="0" applyFont="1" applyBorder="1" applyAlignment="1">
      <alignment horizontal="center" vertical="center"/>
    </xf>
    <xf numFmtId="4" fontId="2" fillId="0" borderId="20" xfId="0" applyFont="1" applyBorder="1" applyAlignment="1">
      <alignment horizontal="right" vertical="top" textRotation="137"/>
    </xf>
    <xf numFmtId="0" fontId="9" fillId="0" borderId="11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wrapText="1"/>
    </xf>
    <xf numFmtId="4" fontId="6" fillId="0" borderId="0" xfId="0" applyFont="1" applyAlignment="1">
      <alignment vertical="bottom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vertical="bottom"/>
    </xf>
    <xf numFmtId="1" fontId="15" fillId="0" borderId="0" xfId="0" applyFont="1" applyBorder="1" applyAlignment="1">
      <alignment horizontal="center" vertical="center"/>
    </xf>
    <xf numFmtId="3" fontId="1" fillId="0" borderId="0" xfId="0">
      <alignment vertical="center"/>
    </xf>
    <xf numFmtId="1" fontId="1" fillId="0" borderId="0" xfId="0">
      <alignment vertical="center"/>
    </xf>
    <xf numFmtId="1" fontId="1" fillId="0" borderId="0" xfId="0" applyBorder="1" applyAlignment="1">
      <alignment horizontal="center" vertical="center"/>
    </xf>
    <xf numFmtId="4" fontId="4" fillId="0" borderId="26" xfId="0" applyFont="1" applyBorder="1" applyAlignment="1">
      <alignment horizontal="center" vertical="center"/>
    </xf>
    <xf numFmtId="0" fontId="10" fillId="3" borderId="2" xfId="0" applyFont="1" applyBorder="1" applyAlignment="1">
      <alignment horizontal="center" vertical="center" textRotation="90"/>
    </xf>
    <xf numFmtId="4" fontId="2" fillId="0" borderId="1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right" vertical="center" wrapText="1" textRotation="90"/>
    </xf>
    <xf numFmtId="0" fontId="2" fillId="0" borderId="27" xfId="0" applyFont="1" applyBorder="1" applyAlignment="1">
      <alignment horizontal="center" vertical="center" wrapText="1" textRotation="90"/>
    </xf>
    <xf numFmtId="0" fontId="2" fillId="0" borderId="28" xfId="0" applyFont="1" applyBorder="1" applyAlignment="1">
      <alignment horizontal="right" vertical="center" wrapText="1" textRotation="90"/>
    </xf>
    <xf numFmtId="4" fontId="13" fillId="0" borderId="18" xfId="0" applyFont="1" applyBorder="1" applyAlignment="1">
      <alignment horizontal="center" vertical="center" wrapText="1"/>
    </xf>
    <xf numFmtId="4" fontId="13" fillId="0" borderId="1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 textRotation="90"/>
    </xf>
    <xf numFmtId="164" fontId="1" fillId="0" borderId="0" xfId="0">
      <alignment vertical="center"/>
    </xf>
    <xf numFmtId="4" fontId="4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 textRotation="90"/>
    </xf>
    <xf numFmtId="0" fontId="9" fillId="0" borderId="30" xfId="0" applyFont="1" applyBorder="1" applyAlignment="1">
      <alignment horizontal="center" vertical="center" textRotation="90"/>
    </xf>
    <xf numFmtId="0" fontId="2" fillId="0" borderId="31" xfId="0" applyFont="1" applyBorder="1" applyAlignment="1">
      <alignment horizontal="center" vertical="center"/>
    </xf>
    <xf numFmtId="0" fontId="2" fillId="2" borderId="32" xfId="0" applyFont="1" applyBorder="1" applyAlignment="1">
      <alignment horizontal="center" vertical="center"/>
    </xf>
    <xf numFmtId="0" fontId="2" fillId="2" borderId="31" xfId="0" applyFont="1" applyBorder="1" applyAlignment="1">
      <alignment horizontal="center" vertical="center"/>
    </xf>
    <xf numFmtId="4" fontId="7" fillId="0" borderId="33" xfId="0" applyFont="1" applyBorder="1" applyAlignment="1">
      <alignment horizontal="center" vertical="center"/>
    </xf>
    <xf numFmtId="4" fontId="9" fillId="0" borderId="34" xfId="0" applyFont="1" applyBorder="1" applyAlignment="1">
      <alignment horizontal="center" vertical="center"/>
    </xf>
    <xf numFmtId="2" fontId="9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2" fontId="9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2" fontId="9" fillId="0" borderId="20" xfId="0" applyFont="1" applyBorder="1" applyAlignment="1">
      <alignment horizontal="center" vertical="center"/>
    </xf>
    <xf numFmtId="2" fontId="9" fillId="0" borderId="3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top" wrapText="1"/>
    </xf>
    <xf numFmtId="0" fontId="8" fillId="0" borderId="33" xfId="0" applyFont="1" applyBorder="1" applyAlignment="1">
      <alignment horizontal="center" vertical="top"/>
    </xf>
    <xf numFmtId="0" fontId="16" fillId="0" borderId="0" xfId="0" applyFont="1" applyBorder="1" applyAlignment="1">
      <alignment horizontal="right" vertical="bottom"/>
    </xf>
    <xf numFmtId="0" fontId="17" fillId="0" borderId="0" xfId="0" applyFont="1" applyBorder="1" applyAlignment="1">
      <alignment horizontal="center" vertical="bottom"/>
    </xf>
    <xf numFmtId="165" fontId="6" fillId="0" borderId="0" xfId="0" applyFont="1" applyAlignment="1">
      <alignment vertical="bottom"/>
    </xf>
    <xf numFmtId="0" fontId="1" fillId="0" borderId="0" xfId="0" applyAlignment="1">
      <alignment horizontal="center" vertical="center"/>
    </xf>
    <xf numFmtId="166" fontId="1" fillId="0" borderId="0" xfId="0">
      <alignment vertical="center"/>
    </xf>
    <xf numFmtId="166" fontId="1" fillId="0" borderId="0" xfId="0" applyAlignment="1">
      <alignment vertical="bottom"/>
    </xf>
    <xf numFmtId="0" fontId="1" fillId="0" borderId="0" xfId="0" applyAlignment="1">
      <alignment horizontal="center" vertical="bottom"/>
    </xf>
    <xf numFmtId="0" fontId="1" fillId="0" borderId="0" xfId="0" applyBorder="1" applyAlignment="1">
      <alignment horizontal="center" vertical="center"/>
    </xf>
    <xf numFmtId="166" fontId="1" fillId="0" borderId="0" xfId="0" applyAlignment="1">
      <alignment horizontal="center" vertical="center"/>
    </xf>
    <xf numFmtId="3" fontId="1" fillId="0" borderId="0" xfId="0" applyAlignment="1">
      <alignment vertical="bottom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bottom"/>
    </xf>
    <xf numFmtId="166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bottom"/>
    </xf>
    <xf numFmtId="166" fontId="18" fillId="0" borderId="0" xfId="0" applyFont="1" applyBorder="1" applyAlignment="1">
      <alignment horizontal="center" vertical="bottom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bottom"/>
    </xf>
    <xf numFmtId="166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bottom"/>
    </xf>
    <xf numFmtId="166" fontId="20" fillId="0" borderId="0" xfId="0" applyFont="1" applyAlignment="1">
      <alignment horizontal="center" vertical="center"/>
    </xf>
    <xf numFmtId="49" fontId="1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Font="1" applyBorder="1">
      <alignment vertical="center"/>
    </xf>
    <xf numFmtId="0" fontId="3" fillId="2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1" fillId="0" borderId="0" xfId="0" applyAlignment="1">
      <alignment horizontal="left" vertical="center"/>
    </xf>
    <xf numFmtId="49" fontId="1" fillId="0" borderId="0" xfId="0" applyAlignment="1">
      <alignment horizontal="left" vertical="center"/>
    </xf>
    <xf numFmtId="0" fontId="18" fillId="0" borderId="0" xfId="0" applyFont="1">
      <alignment vertical="center"/>
    </xf>
    <xf numFmtId="49" fontId="21" fillId="0" borderId="0" xfId="0" applyFont="1">
      <alignment vertical="center"/>
    </xf>
    <xf numFmtId="0" fontId="7" fillId="0" borderId="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textRotation="90"/>
    </xf>
    <xf numFmtId="49" fontId="4" fillId="0" borderId="17" xfId="0" applyFont="1" applyBorder="1" applyAlignment="1">
      <alignment horizontal="left" vertical="center" textRotation="90"/>
    </xf>
    <xf numFmtId="0" fontId="2" fillId="0" borderId="17" xfId="0" applyFont="1" applyBorder="1" applyAlignment="1">
      <alignment horizontal="center" vertical="center"/>
    </xf>
    <xf numFmtId="1" fontId="4" fillId="0" borderId="17" xfId="0" applyFont="1" applyBorder="1" applyAlignment="1">
      <alignment horizontal="center" vertical="center"/>
    </xf>
    <xf numFmtId="166" fontId="4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2" fillId="0" borderId="0" xfId="0" applyFont="1" applyBorder="1" applyAlignment="1">
      <alignment horizontal="left" vertical="center" wrapText="1"/>
    </xf>
    <xf numFmtId="166" fontId="4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17" xfId="0" applyFont="1" applyBorder="1" applyAlignment="1">
      <alignment horizontal="center" vertical="center" wrapText="1"/>
    </xf>
    <xf numFmtId="0" fontId="1" fillId="4" borderId="17" xfId="0" applyBorder="1" applyAlignment="1">
      <alignment vertical="bottom"/>
    </xf>
    <xf numFmtId="0" fontId="1" fillId="4" borderId="17" xfId="0" applyBorder="1">
      <alignment vertical="center"/>
    </xf>
    <xf numFmtId="0" fontId="1" fillId="2" borderId="17" xfId="0" applyBorder="1" applyAlignment="1">
      <alignment vertical="bottom"/>
    </xf>
    <xf numFmtId="0" fontId="1" fillId="2" borderId="17" xfId="0" applyBorder="1">
      <alignment vertical="center"/>
    </xf>
    <xf numFmtId="2" fontId="1" fillId="0" borderId="0" xfId="0" applyAlignment="1">
      <alignment vertical="bottom"/>
    </xf>
    <xf numFmtId="2" fontId="1" fillId="4" borderId="17" xfId="0" applyBorder="1">
      <alignment vertical="center"/>
    </xf>
    <xf numFmtId="2" fontId="23" fillId="2" borderId="17" xfId="0" applyFont="1" applyBorder="1">
      <alignment vertical="center"/>
    </xf>
    <xf numFmtId="2" fontId="1" fillId="2" borderId="17" xfId="0" applyBorder="1">
      <alignment vertical="center"/>
    </xf>
    <xf numFmtId="0" fontId="23" fillId="2" borderId="17" xfId="0" applyFont="1" applyBorder="1">
      <alignment vertical="center"/>
    </xf>
    <xf numFmtId="2" fontId="23" fillId="0" borderId="0" xfId="0" applyFont="1">
      <alignment vertical="center"/>
    </xf>
    <xf numFmtId="0" fontId="24" fillId="5" borderId="17" xfId="0" applyFont="1" applyBorder="1" applyAlignment="1">
      <alignment horizontal="center" vertical="center" wrapText="1"/>
    </xf>
    <xf numFmtId="0" fontId="23" fillId="2" borderId="17" xfId="0" applyFont="1" applyBorder="1" applyAlignment="1">
      <alignment vertical="bottom"/>
    </xf>
    <xf numFmtId="2" fontId="1" fillId="2" borderId="17" xfId="0" applyBorder="1" applyAlignment="1">
      <alignment vertical="bottom"/>
    </xf>
    <xf numFmtId="0" fontId="1" fillId="6" borderId="0" xfId="0" applyAlignment="1">
      <alignment horizontal="center" vertical="center"/>
    </xf>
    <xf numFmtId="0" fontId="1" fillId="0" borderId="0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5" fillId="6" borderId="0" xfId="0" applyFont="1" applyAlignment="1">
      <alignment horizontal="center" vertical="center"/>
    </xf>
    <xf numFmtId="4" fontId="1" fillId="0" borderId="0" xfId="0" applyAlignment="1">
      <alignment horizontal="center" vertical="center"/>
    </xf>
    <xf numFmtId="0" fontId="6" fillId="6" borderId="0" xfId="0" applyFont="1" applyAlignment="1">
      <alignment horizontal="center" vertical="center"/>
    </xf>
    <xf numFmtId="0" fontId="18" fillId="7" borderId="0" xfId="0" applyFont="1" applyAlignment="1">
      <alignment horizontal="center" vertical="center"/>
    </xf>
    <xf numFmtId="4" fontId="6" fillId="6" borderId="0" xfId="0" applyFont="1" applyAlignment="1">
      <alignment horizontal="center" vertical="center"/>
    </xf>
    <xf numFmtId="0" fontId="26" fillId="6" borderId="0" xfId="0" applyFont="1" applyAlignment="1">
      <alignment horizontal="left" vertical="center"/>
    </xf>
    <xf numFmtId="4" fontId="1" fillId="7" borderId="0" xfId="0" applyAlignment="1">
      <alignment horizontal="center"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E7E6E6"/>
      <rgbColor rgb="00660066"/>
      <rgbColor rgb="00FF8080"/>
      <rgbColor rgb="000066CC"/>
      <rgbColor rgb="00CFCDC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5A5A5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V89"/>
  <sheetViews>
    <sheetView tabSelected="1" workbookViewId="0" rightToLeft="1" topLeftCell="L2" zoomScale="70">
      <selection activeCell="S20" sqref="S20:T27"/>
    </sheetView>
  </sheetViews>
  <sheetFormatPr defaultRowHeight="15.0" defaultColWidth="9" zeroHeight="1"/>
  <cols>
    <col min="1" max="3" customWidth="1" width="4.4179688" style="1"/>
    <col min="4" max="4" customWidth="1" width="6.4296875" style="1"/>
    <col min="5" max="5" customWidth="1" width="20.289062" style="1"/>
    <col min="6" max="7" customWidth="1" width="12.1484375" style="1"/>
    <col min="8" max="8" customWidth="1" width="10.2890625" style="1"/>
    <col min="9" max="9" customWidth="1" width="12.1484375" style="1"/>
    <col min="10" max="10" customWidth="1" width="3.1484375" style="1"/>
    <col min="11" max="11" customWidth="1" width="6.7070312" style="1"/>
    <col min="12" max="13" customWidth="1" width="7.5664062" style="1"/>
    <col min="14" max="14" customWidth="1" width="8.417969" style="1"/>
    <col min="15" max="17" customWidth="1" width="7.5664062" style="1"/>
    <col min="18" max="18" customWidth="1" width="8.2890625" style="1"/>
    <col min="19" max="19" hidden="1" customWidth="1" width="0.56640625" style="1"/>
    <col min="20" max="20" customWidth="1" width="9.136719" style="1"/>
    <col min="21" max="21" customWidth="1" width="11.2890625" style="1"/>
    <col min="22" max="23" customWidth="1" width="11.2890625" style="2"/>
    <col min="24" max="25" hidden="1" customWidth="1" width="11.2890625" style="1"/>
    <col min="26" max="26" customWidth="1" width="11.2890625" style="1"/>
    <col min="27" max="27" customWidth="1" width="14.707031" style="1"/>
    <col min="28" max="28" customWidth="1" width="13.417969" style="2"/>
    <col min="30" max="33" customWidth="0" width="9.0" style="1"/>
    <col min="34" max="34" customWidth="1" width="8.707031" style="1"/>
    <col min="35" max="35" customWidth="1" width="6.8476562" style="1"/>
    <col min="39" max="39" customWidth="0" width="9.0" style="1"/>
    <col min="40" max="44" hidden="1" customWidth="1" width="11.566406" style="1"/>
    <col min="45" max="46" hidden="1" customWidth="0" width="9.0" style="1"/>
  </cols>
  <sheetData>
    <row r="1" spans="8:8" ht="42.75" customHeight="1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5" t="s">
        <v>1</v>
      </c>
      <c r="Q1" s="6" t="str">
        <f>DATA!E1</f>
        <v>06/07</v>
      </c>
      <c r="R1" s="7" t="s">
        <v>2</v>
      </c>
      <c r="S1" s="8"/>
      <c r="T1" s="9" t="s">
        <v>3</v>
      </c>
      <c r="U1" s="10"/>
    </row>
    <row r="2" spans="8:8" ht="46.5" customHeight="1">
      <c r="A2" s="11" t="s">
        <v>4</v>
      </c>
      <c r="B2" s="11"/>
      <c r="C2" s="11"/>
      <c r="D2" s="11"/>
      <c r="E2" s="11"/>
      <c r="F2" s="4"/>
      <c r="G2" s="4"/>
      <c r="H2" s="4"/>
      <c r="I2" s="4"/>
      <c r="J2" s="4"/>
      <c r="K2" s="4"/>
      <c r="L2" s="4"/>
      <c r="M2" s="4"/>
      <c r="N2" s="4"/>
      <c r="O2" s="4"/>
      <c r="P2" s="12" t="s">
        <v>5</v>
      </c>
      <c r="Q2" s="13" t="str">
        <f>DATA!E2</f>
        <v>شنبه</v>
      </c>
      <c r="R2" s="13"/>
      <c r="S2" s="14"/>
      <c r="T2" s="9"/>
      <c r="U2" s="10"/>
    </row>
    <row r="3" spans="8:8" ht="38.25" customHeight="1">
      <c r="A3" s="15" t="s">
        <v>6</v>
      </c>
      <c r="B3" s="15"/>
      <c r="C3" s="16" t="s">
        <v>7</v>
      </c>
      <c r="D3" s="17" t="s">
        <v>8</v>
      </c>
      <c r="E3" s="18" t="s">
        <v>9</v>
      </c>
      <c r="F3" s="19" t="s">
        <v>10</v>
      </c>
      <c r="G3" s="19" t="s">
        <v>11</v>
      </c>
      <c r="H3" s="19" t="s">
        <v>12</v>
      </c>
      <c r="I3" s="17" t="s">
        <v>13</v>
      </c>
      <c r="J3" s="20" t="s">
        <v>7</v>
      </c>
      <c r="K3" s="21"/>
      <c r="L3" s="21"/>
      <c r="M3" s="21"/>
      <c r="N3" s="21"/>
      <c r="O3" s="21"/>
      <c r="P3" s="21"/>
      <c r="Q3" s="21"/>
      <c r="R3" s="21"/>
      <c r="S3" s="22"/>
      <c r="T3" s="22"/>
      <c r="U3" s="10"/>
    </row>
    <row r="4" spans="8:8" ht="18.0" customHeight="1">
      <c r="A4" s="23" t="s">
        <v>14</v>
      </c>
      <c r="B4" s="24">
        <v>362.1</v>
      </c>
      <c r="C4" s="25">
        <f>B4-227</f>
        <v>135.10000000000002</v>
      </c>
      <c r="D4" s="26" t="s">
        <v>15</v>
      </c>
      <c r="E4" s="27" t="s">
        <v>16</v>
      </c>
      <c r="F4" s="28">
        <f>(LOOKUP(DATA!D4,DATA!K2:K1494,DATA!L2:L1494))+(DATA!E4/100)</f>
        <v>355.3</v>
      </c>
      <c r="G4" s="29">
        <f>(LOOKUP(DATA!F4,DATA!K2:K1494,DATA!L2:L1494))+DATA!G4/100</f>
        <v>354.34</v>
      </c>
      <c r="H4" s="30">
        <f>F4-G4</f>
        <v>0.9600000000000364</v>
      </c>
      <c r="I4" s="31">
        <f>B4-G4</f>
        <v>7.760000000000048</v>
      </c>
      <c r="J4" s="25">
        <f>G4-227</f>
        <v>127.33999999999997</v>
      </c>
      <c r="K4" s="32"/>
      <c r="L4" s="33">
        <v>1.0</v>
      </c>
      <c r="M4" s="33">
        <v>2.0</v>
      </c>
      <c r="N4" s="33">
        <v>3.0</v>
      </c>
      <c r="O4" s="33">
        <v>4.0</v>
      </c>
      <c r="P4" s="33">
        <v>5.0</v>
      </c>
      <c r="Q4" s="33">
        <v>6.0</v>
      </c>
      <c r="R4" s="33">
        <v>7.0</v>
      </c>
      <c r="S4" s="34"/>
      <c r="T4" s="34"/>
      <c r="U4" s="10"/>
    </row>
    <row r="5" spans="8:8" ht="18.0" customHeight="1">
      <c r="A5" s="23"/>
      <c r="B5" s="24"/>
      <c r="C5" s="24"/>
      <c r="D5" s="24"/>
      <c r="E5" s="24"/>
      <c r="F5" s="24"/>
      <c r="G5" s="24"/>
      <c r="H5" s="24"/>
      <c r="I5" s="24"/>
      <c r="J5" s="24"/>
      <c r="K5" s="35" t="s">
        <v>17</v>
      </c>
      <c r="L5" s="36"/>
      <c r="M5" s="36"/>
      <c r="N5" s="36"/>
      <c r="O5" s="36"/>
      <c r="P5" s="36"/>
      <c r="Q5" s="36"/>
      <c r="R5" s="36"/>
      <c r="S5" s="34"/>
      <c r="T5" s="34"/>
      <c r="U5" s="10"/>
      <c r="W5" s="37"/>
      <c r="X5" s="38">
        <f>G4</f>
        <v>354.34</v>
      </c>
      <c r="Y5" s="38">
        <f>H4</f>
        <v>0.9600000000000364</v>
      </c>
    </row>
    <row r="6" spans="8:8" ht="18.0" customHeight="1">
      <c r="A6" s="23"/>
      <c r="B6" s="24"/>
      <c r="C6" s="24"/>
      <c r="D6" s="24"/>
      <c r="E6" s="27"/>
      <c r="F6" s="27"/>
      <c r="G6" s="27"/>
      <c r="H6" s="30"/>
      <c r="I6" s="31"/>
      <c r="J6" s="25"/>
      <c r="K6" s="35"/>
      <c r="L6" s="35"/>
      <c r="M6" s="35"/>
      <c r="N6" s="35"/>
      <c r="O6" s="35"/>
      <c r="P6" s="35"/>
      <c r="Q6" s="35"/>
      <c r="R6" s="35"/>
      <c r="S6" s="34"/>
      <c r="T6" s="34"/>
      <c r="U6" s="10"/>
      <c r="W6" s="37"/>
      <c r="X6" s="38">
        <f>G12</f>
        <v>367.48999999999995</v>
      </c>
      <c r="Y6" s="38">
        <f>H12</f>
        <v>1.1800000000000068</v>
      </c>
    </row>
    <row r="7" spans="8:8" ht="18.0" customHeight="1">
      <c r="A7" s="23"/>
      <c r="B7" s="24"/>
      <c r="C7" s="24"/>
      <c r="D7" s="24"/>
      <c r="E7" s="39" t="s">
        <v>18</v>
      </c>
      <c r="F7" s="40">
        <f>F4</f>
        <v>355.3</v>
      </c>
      <c r="G7" s="41">
        <f>G4</f>
        <v>354.34</v>
      </c>
      <c r="H7" s="42">
        <f>H4</f>
        <v>0.9600000000000364</v>
      </c>
      <c r="I7" s="42">
        <f>I4</f>
        <v>7.760000000000048</v>
      </c>
      <c r="J7" s="25"/>
      <c r="K7" s="35" t="s">
        <v>19</v>
      </c>
      <c r="L7" s="36"/>
      <c r="M7" s="36"/>
      <c r="N7" s="36"/>
      <c r="O7" s="43"/>
      <c r="P7" s="36"/>
      <c r="Q7" s="44"/>
      <c r="R7" s="36"/>
      <c r="S7" s="34"/>
      <c r="T7" s="34"/>
      <c r="U7" s="10"/>
      <c r="W7" s="37"/>
      <c r="X7" s="38">
        <f>G20</f>
        <v>584.95</v>
      </c>
      <c r="Y7" s="38">
        <f>H20</f>
        <v>0.849999999999909</v>
      </c>
    </row>
    <row r="8" spans="8:8" ht="18.0" customHeight="1">
      <c r="A8" s="23"/>
      <c r="B8" s="24"/>
      <c r="C8" s="24"/>
      <c r="D8" s="24"/>
      <c r="E8" s="24"/>
      <c r="F8" s="24"/>
      <c r="G8" s="24"/>
      <c r="H8" s="24"/>
      <c r="I8" s="24"/>
      <c r="J8" s="24"/>
      <c r="K8" s="35"/>
      <c r="L8" s="35"/>
      <c r="M8" s="35"/>
      <c r="N8" s="35"/>
      <c r="O8" s="35"/>
      <c r="P8" s="35"/>
      <c r="Q8" s="35"/>
      <c r="R8" s="35"/>
      <c r="S8" s="34"/>
      <c r="T8" s="34"/>
      <c r="U8" s="10"/>
      <c r="V8" s="2" t="s">
        <v>20</v>
      </c>
      <c r="W8" s="37"/>
      <c r="X8" s="38">
        <f>G28</f>
        <v>588.25</v>
      </c>
      <c r="Y8" s="38">
        <f>H28</f>
        <v>0.0</v>
      </c>
    </row>
    <row r="9" spans="8:8" ht="18.0" customHeight="1">
      <c r="A9" s="23"/>
      <c r="B9" s="24"/>
      <c r="C9" s="24"/>
      <c r="D9" s="24"/>
      <c r="E9" s="39"/>
      <c r="F9" s="39"/>
      <c r="G9" s="39"/>
      <c r="H9" s="39"/>
      <c r="I9" s="39"/>
      <c r="J9" s="25"/>
      <c r="K9" s="35"/>
      <c r="L9" s="45">
        <v>1.0</v>
      </c>
      <c r="M9" s="45">
        <v>2.0</v>
      </c>
      <c r="N9" s="45">
        <v>3.0</v>
      </c>
      <c r="O9" s="45">
        <v>4.0</v>
      </c>
      <c r="P9" s="45">
        <v>5.0</v>
      </c>
      <c r="Q9" s="45">
        <v>6.0</v>
      </c>
      <c r="R9" s="45">
        <v>7.0</v>
      </c>
      <c r="S9" s="34"/>
      <c r="T9" s="34"/>
      <c r="U9" s="10"/>
      <c r="X9" s="1">
        <f>G36</f>
        <v>909.80000000001</v>
      </c>
      <c r="Y9" s="38">
        <f>H36</f>
        <v>0.0</v>
      </c>
    </row>
    <row r="10" spans="8:8" ht="18.0" customHeight="1">
      <c r="A10" s="23"/>
      <c r="B10" s="24"/>
      <c r="C10" s="24"/>
      <c r="D10" s="24"/>
      <c r="E10" s="46" t="s">
        <v>21</v>
      </c>
      <c r="F10" s="47">
        <f>F4</f>
        <v>355.3</v>
      </c>
      <c r="G10" s="48">
        <f>G4</f>
        <v>354.34</v>
      </c>
      <c r="H10" s="49">
        <f>H4</f>
        <v>0.9600000000000364</v>
      </c>
      <c r="I10" s="49">
        <f>I4</f>
        <v>7.760000000000048</v>
      </c>
      <c r="J10" s="25"/>
      <c r="K10" s="50" t="s">
        <v>17</v>
      </c>
      <c r="L10" s="51"/>
      <c r="M10" s="51"/>
      <c r="N10" s="51"/>
      <c r="O10" s="51"/>
      <c r="P10" s="51"/>
      <c r="Q10" s="51"/>
      <c r="R10" s="51"/>
      <c r="S10" s="34"/>
      <c r="T10" s="34"/>
      <c r="U10" s="10"/>
      <c r="X10" s="38">
        <f>G44</f>
        <v>909.80000000001</v>
      </c>
      <c r="Y10" s="38">
        <f>H44</f>
        <v>0.0</v>
      </c>
    </row>
    <row r="11" spans="8:8" ht="18.0" customHeight="1">
      <c r="A11" s="23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34"/>
      <c r="T11" s="34"/>
      <c r="U11" s="10"/>
      <c r="X11" s="38">
        <f>G52</f>
        <v>1200.0</v>
      </c>
      <c r="Y11" s="38">
        <f>H52</f>
        <v>0.0</v>
      </c>
    </row>
    <row r="12" spans="8:8" ht="18.0" customHeight="1">
      <c r="A12" s="23"/>
      <c r="B12" s="24"/>
      <c r="C12" s="25">
        <f>B20-B4</f>
        <v>224.54999999999995</v>
      </c>
      <c r="D12" s="26" t="s">
        <v>22</v>
      </c>
      <c r="E12" s="52" t="s">
        <v>16</v>
      </c>
      <c r="F12" s="53">
        <f>(LOOKUP(DATA!D7,DATA!K2:K1494,DATA!L2:L1494))+DATA!E7/100</f>
        <v>366.31</v>
      </c>
      <c r="G12" s="53">
        <f>(LOOKUP(DATA!F7,DATA!K2:K1494,DATA!L2:L1494))+DATA!G7/100</f>
        <v>367.48999999999995</v>
      </c>
      <c r="H12" s="54">
        <f>G12-F12</f>
        <v>1.1800000000000068</v>
      </c>
      <c r="I12" s="55">
        <f>G12-B4</f>
        <v>5.389999999999986</v>
      </c>
      <c r="J12" s="25">
        <f>(B20-B4)-(I20+I12)</f>
        <v>217.4600000000001</v>
      </c>
      <c r="K12" s="56"/>
      <c r="L12" s="57">
        <v>1.0</v>
      </c>
      <c r="M12" s="57">
        <v>2.0</v>
      </c>
      <c r="N12" s="57">
        <v>3.0</v>
      </c>
      <c r="O12" s="57">
        <v>4.0</v>
      </c>
      <c r="P12" s="57">
        <v>5.0</v>
      </c>
      <c r="Q12" s="57">
        <v>6.0</v>
      </c>
      <c r="R12" s="57">
        <v>7.0</v>
      </c>
      <c r="S12" s="58"/>
      <c r="T12" s="58"/>
      <c r="U12" s="10"/>
      <c r="X12" s="38">
        <f>G60</f>
        <v>1200.0</v>
      </c>
      <c r="Y12" s="38">
        <f>H60</f>
        <v>0.0</v>
      </c>
    </row>
    <row r="13" spans="8:8" ht="18.0" customHeight="1">
      <c r="A13" s="23"/>
      <c r="B13" s="24"/>
      <c r="C13" s="24"/>
      <c r="D13" s="24"/>
      <c r="E13" s="52"/>
      <c r="F13" s="53"/>
      <c r="G13" s="53"/>
      <c r="H13" s="53"/>
      <c r="I13" s="55"/>
      <c r="J13" s="25"/>
      <c r="K13" s="59" t="s">
        <v>17</v>
      </c>
      <c r="L13" s="36"/>
      <c r="M13" s="36"/>
      <c r="N13" s="36"/>
      <c r="O13" s="36"/>
      <c r="P13" s="36"/>
      <c r="Q13" s="36"/>
      <c r="R13" s="36"/>
      <c r="S13" s="58"/>
      <c r="T13" s="58"/>
      <c r="U13" s="10"/>
    </row>
    <row r="14" spans="8:8" ht="18.0" customHeight="1">
      <c r="A14" s="23"/>
      <c r="B14" s="24"/>
      <c r="C14" s="24"/>
      <c r="D14" s="24"/>
      <c r="E14" s="52"/>
      <c r="F14" s="53"/>
      <c r="G14" s="53"/>
      <c r="H14" s="53"/>
      <c r="I14" s="55"/>
      <c r="J14" s="25"/>
      <c r="K14" s="59"/>
      <c r="L14" s="59"/>
      <c r="M14" s="59"/>
      <c r="N14" s="59"/>
      <c r="O14" s="59"/>
      <c r="P14" s="59"/>
      <c r="Q14" s="59"/>
      <c r="R14" s="59"/>
      <c r="S14" s="58"/>
      <c r="T14" s="58"/>
      <c r="U14" s="10"/>
    </row>
    <row r="15" spans="8:8" ht="18.0" customHeight="1">
      <c r="A15" s="23"/>
      <c r="B15" s="24"/>
      <c r="C15" s="24"/>
      <c r="D15" s="24"/>
      <c r="E15" s="60" t="s">
        <v>18</v>
      </c>
      <c r="F15" s="41">
        <f>F12</f>
        <v>366.31</v>
      </c>
      <c r="G15" s="41">
        <f>G12</f>
        <v>367.48999999999995</v>
      </c>
      <c r="H15" s="54">
        <f>H12</f>
        <v>1.1800000000000068</v>
      </c>
      <c r="I15" s="42">
        <f>I12</f>
        <v>5.389999999999986</v>
      </c>
      <c r="J15" s="25"/>
      <c r="K15" s="59" t="s">
        <v>19</v>
      </c>
      <c r="L15" s="36"/>
      <c r="M15" s="36"/>
      <c r="N15" s="36"/>
      <c r="O15" s="36"/>
      <c r="P15" s="36"/>
      <c r="Q15" s="36"/>
      <c r="R15" s="36"/>
      <c r="S15" s="58"/>
      <c r="T15" s="58"/>
      <c r="U15" s="10"/>
    </row>
    <row r="16" spans="8:8" ht="18.0" customHeight="1">
      <c r="A16" s="23"/>
      <c r="B16" s="24"/>
      <c r="C16" s="24"/>
      <c r="D16" s="24"/>
      <c r="E16" s="60"/>
      <c r="F16" s="41"/>
      <c r="G16" s="41"/>
      <c r="H16" s="41"/>
      <c r="I16" s="41"/>
      <c r="J16" s="41"/>
      <c r="K16" s="59"/>
      <c r="L16" s="59"/>
      <c r="M16" s="59"/>
      <c r="N16" s="59"/>
      <c r="O16" s="59"/>
      <c r="P16" s="59"/>
      <c r="Q16" s="59"/>
      <c r="R16" s="59"/>
      <c r="S16" s="58"/>
      <c r="T16" s="58"/>
      <c r="U16" s="10"/>
    </row>
    <row r="17" spans="8:8" ht="18.0" customHeight="1">
      <c r="A17" s="23"/>
      <c r="B17" s="24"/>
      <c r="C17" s="24"/>
      <c r="D17" s="24"/>
      <c r="E17" s="60"/>
      <c r="F17" s="41"/>
      <c r="G17" s="41"/>
      <c r="H17" s="41"/>
      <c r="I17" s="41"/>
      <c r="J17" s="25"/>
      <c r="K17" s="59"/>
      <c r="L17" s="45">
        <v>1.0</v>
      </c>
      <c r="M17" s="45">
        <v>2.0</v>
      </c>
      <c r="N17" s="45">
        <v>3.0</v>
      </c>
      <c r="O17" s="45">
        <v>4.0</v>
      </c>
      <c r="P17" s="45">
        <v>5.0</v>
      </c>
      <c r="Q17" s="45">
        <v>6.0</v>
      </c>
      <c r="R17" s="45">
        <v>7.0</v>
      </c>
      <c r="S17" s="58"/>
      <c r="T17" s="58"/>
      <c r="U17" s="10"/>
    </row>
    <row r="18" spans="8:8" ht="18.0" customHeight="1">
      <c r="A18" s="23"/>
      <c r="B18" s="24"/>
      <c r="C18" s="24"/>
      <c r="D18" s="24"/>
      <c r="E18" s="61" t="s">
        <v>21</v>
      </c>
      <c r="F18" s="48">
        <f>F12</f>
        <v>366.31</v>
      </c>
      <c r="G18" s="48">
        <f>G12</f>
        <v>367.48999999999995</v>
      </c>
      <c r="H18" s="62">
        <f>H12</f>
        <v>1.1800000000000068</v>
      </c>
      <c r="I18" s="62">
        <f>I12</f>
        <v>5.389999999999986</v>
      </c>
      <c r="J18" s="25"/>
      <c r="K18" s="63" t="s">
        <v>17</v>
      </c>
      <c r="L18" s="51"/>
      <c r="M18" s="51"/>
      <c r="N18" s="51"/>
      <c r="O18" s="51"/>
      <c r="P18" s="51"/>
      <c r="Q18" s="51"/>
      <c r="R18" s="51"/>
      <c r="S18" s="58"/>
      <c r="T18" s="58"/>
      <c r="U18" s="10"/>
    </row>
    <row r="19" spans="8:8" ht="18.0" customHeight="1">
      <c r="A19" s="23"/>
      <c r="B19" s="24"/>
      <c r="C19" s="25"/>
      <c r="D19" s="26"/>
      <c r="E19" s="61"/>
      <c r="F19" s="48"/>
      <c r="G19" s="48"/>
      <c r="H19" s="62"/>
      <c r="I19" s="62"/>
      <c r="J19" s="25"/>
      <c r="K19" s="63"/>
      <c r="L19" s="63"/>
      <c r="M19" s="63"/>
      <c r="N19" s="63"/>
      <c r="O19" s="63"/>
      <c r="P19" s="63"/>
      <c r="Q19" s="63"/>
      <c r="R19" s="63"/>
      <c r="S19" s="58"/>
      <c r="T19" s="58"/>
      <c r="U19" s="10"/>
    </row>
    <row r="20" spans="8:8" ht="18.0" customHeight="1">
      <c r="A20" s="64" t="s">
        <v>22</v>
      </c>
      <c r="B20" s="24">
        <v>586.65</v>
      </c>
      <c r="C20" s="25"/>
      <c r="D20" s="26" t="s">
        <v>14</v>
      </c>
      <c r="E20" s="27" t="s">
        <v>16</v>
      </c>
      <c r="F20" s="41">
        <f>(LOOKUP(DATA!D10,DATA!K2:K1494,DATA!L2:L1494))+DATA!E10/100</f>
        <v>585.8</v>
      </c>
      <c r="G20" s="41">
        <f>(LOOKUP(DATA!F10,DATA!K2:K1494,DATA!L2:L1494))+DATA!G10/100</f>
        <v>584.95</v>
      </c>
      <c r="H20" s="31">
        <f>F20-G20</f>
        <v>0.849999999999909</v>
      </c>
      <c r="I20" s="31">
        <f>B20-G20</f>
        <v>1.6999999999999318</v>
      </c>
      <c r="J20" s="25"/>
      <c r="K20" s="32"/>
      <c r="L20" s="33">
        <v>7.0</v>
      </c>
      <c r="M20" s="33">
        <v>6.0</v>
      </c>
      <c r="N20" s="33">
        <v>5.0</v>
      </c>
      <c r="O20" s="33">
        <v>4.0</v>
      </c>
      <c r="P20" s="33">
        <v>3.0</v>
      </c>
      <c r="Q20" s="33">
        <v>2.0</v>
      </c>
      <c r="R20" s="33">
        <v>1.0</v>
      </c>
      <c r="S20" s="65"/>
      <c r="T20" s="65"/>
      <c r="U20" s="10"/>
      <c r="V20" s="66"/>
      <c r="W20" s="66"/>
      <c r="X20" s="66"/>
      <c r="Y20" s="66"/>
      <c r="Z20" s="67"/>
    </row>
    <row r="21" spans="8:8" ht="18.0" customHeight="1">
      <c r="A21" s="64"/>
      <c r="B21" s="24"/>
      <c r="C21" s="24"/>
      <c r="D21" s="24"/>
      <c r="E21" s="24"/>
      <c r="F21" s="24"/>
      <c r="G21" s="24"/>
      <c r="H21" s="24"/>
      <c r="I21" s="24"/>
      <c r="J21" s="24"/>
      <c r="K21" s="35" t="s">
        <v>17</v>
      </c>
      <c r="L21" s="36"/>
      <c r="M21" s="36"/>
      <c r="N21" s="36"/>
      <c r="O21" s="36"/>
      <c r="P21" s="36"/>
      <c r="Q21" s="36"/>
      <c r="R21" s="36"/>
      <c r="S21" s="65"/>
      <c r="T21" s="65"/>
      <c r="U21" s="10"/>
      <c r="V21" s="68"/>
      <c r="W21" s="68"/>
      <c r="X21" s="68"/>
      <c r="Y21" s="66"/>
      <c r="Z21" s="67"/>
      <c r="AB21" s="69">
        <f>RAND()*(9-3)</f>
        <v>0.8525077071648484</v>
      </c>
      <c r="AC21" s="69">
        <f>RAND()*(9-3)</f>
        <v>1.6647372312956183</v>
      </c>
      <c r="AD21" s="69" t="e">
        <f ca="1">#REF!</f>
        <v>#REF!</v>
      </c>
      <c r="AE21" s="69">
        <f>RAND()*(9-3)</f>
        <v>5.49717351781449</v>
      </c>
      <c r="AF21" s="69">
        <f>RAND()*(9-3)</f>
        <v>2.085021734788358</v>
      </c>
      <c r="AG21" s="69">
        <f>RAND()*(9-3)</f>
        <v>5.548490553290781</v>
      </c>
      <c r="AH21" s="69">
        <f>RAND()*(9-3)</f>
        <v>2.717756598106158</v>
      </c>
      <c r="AM21" s="70"/>
      <c r="AN21" s="70">
        <f>L21</f>
        <v>0.0</v>
      </c>
      <c r="AO21" s="70">
        <f>M21</f>
        <v>0.0</v>
      </c>
      <c r="AP21" s="70">
        <f>N21</f>
        <v>0.0</v>
      </c>
      <c r="AQ21" s="70">
        <f>O21</f>
        <v>0.0</v>
      </c>
      <c r="AR21" s="70">
        <f>P21</f>
        <v>0.0</v>
      </c>
      <c r="AS21" s="70">
        <f>Q21</f>
        <v>0.0</v>
      </c>
      <c r="AT21" s="70">
        <f>R21</f>
        <v>0.0</v>
      </c>
    </row>
    <row r="22" spans="8:8" ht="18.0" customHeight="1">
      <c r="A22" s="64"/>
      <c r="B22" s="24"/>
      <c r="C22" s="24"/>
      <c r="D22" s="24"/>
      <c r="E22" s="27"/>
      <c r="F22" s="27"/>
      <c r="G22" s="27"/>
      <c r="H22" s="27"/>
      <c r="I22" s="27"/>
      <c r="J22" s="25"/>
      <c r="K22" s="35"/>
      <c r="L22" s="35"/>
      <c r="M22" s="35"/>
      <c r="N22" s="35"/>
      <c r="O22" s="35"/>
      <c r="P22" s="35"/>
      <c r="Q22" s="35"/>
      <c r="R22" s="35"/>
      <c r="S22" s="65"/>
      <c r="T22" s="65"/>
      <c r="U22" s="10"/>
      <c r="V22" s="68"/>
      <c r="W22" s="66"/>
      <c r="X22" s="68"/>
      <c r="Y22" s="68"/>
      <c r="Z22" s="67"/>
      <c r="AB22" s="69"/>
      <c r="AC22" s="69"/>
      <c r="AD22" s="69"/>
      <c r="AE22" s="69"/>
      <c r="AF22" s="69"/>
      <c r="AG22" s="69"/>
      <c r="AH22" s="69"/>
    </row>
    <row r="23" spans="8:8" ht="18.0" customHeight="1">
      <c r="A23" s="64"/>
      <c r="B23" s="24"/>
      <c r="C23" s="24"/>
      <c r="D23" s="24"/>
      <c r="E23" s="39" t="s">
        <v>18</v>
      </c>
      <c r="F23" s="41">
        <f>F20</f>
        <v>585.8</v>
      </c>
      <c r="G23" s="41">
        <f>G20</f>
        <v>584.95</v>
      </c>
      <c r="H23" s="42">
        <f>H20</f>
        <v>0.849999999999909</v>
      </c>
      <c r="I23" s="42">
        <f>I20</f>
        <v>1.6999999999999318</v>
      </c>
      <c r="J23" s="25"/>
      <c r="K23" s="35" t="s">
        <v>19</v>
      </c>
      <c r="L23" s="36"/>
      <c r="M23" s="36"/>
      <c r="N23" s="36"/>
      <c r="O23" s="43"/>
      <c r="P23" s="36"/>
      <c r="Q23" s="44"/>
      <c r="R23" s="36"/>
      <c r="S23" s="65"/>
      <c r="T23" s="65"/>
      <c r="U23" s="10"/>
      <c r="V23" s="68"/>
      <c r="W23" s="68"/>
      <c r="X23" s="68"/>
      <c r="Y23" s="66"/>
      <c r="Z23" s="67"/>
      <c r="AB23" s="71"/>
      <c r="AC23" s="71"/>
      <c r="AD23" s="71"/>
      <c r="AE23" s="71"/>
      <c r="AF23" s="71"/>
      <c r="AG23" s="71"/>
      <c r="AH23" s="71"/>
      <c r="AN23" s="70">
        <f>L29</f>
        <v>0.0</v>
      </c>
      <c r="AO23" s="70">
        <f>M29</f>
        <v>0.0</v>
      </c>
      <c r="AP23" s="70">
        <f>N29</f>
        <v>0.0</v>
      </c>
      <c r="AQ23" s="70">
        <f>O29</f>
        <v>0.0</v>
      </c>
      <c r="AR23" s="70">
        <f>P29</f>
        <v>0.0</v>
      </c>
      <c r="AS23" s="70">
        <f>Q29</f>
        <v>0.0</v>
      </c>
      <c r="AT23" s="70">
        <f>R29</f>
        <v>0.0</v>
      </c>
    </row>
    <row r="24" spans="8:8" ht="18.0" customHeight="1">
      <c r="A24" s="64"/>
      <c r="B24" s="24"/>
      <c r="C24" s="24"/>
      <c r="D24" s="24"/>
      <c r="E24" s="24"/>
      <c r="F24" s="24"/>
      <c r="G24" s="24"/>
      <c r="H24" s="24"/>
      <c r="I24" s="24"/>
      <c r="J24" s="24"/>
      <c r="K24" s="35"/>
      <c r="L24" s="35"/>
      <c r="M24" s="35"/>
      <c r="N24" s="35"/>
      <c r="O24" s="35"/>
      <c r="P24" s="35"/>
      <c r="Q24" s="35"/>
      <c r="R24" s="35"/>
      <c r="S24" s="65"/>
      <c r="T24" s="65"/>
      <c r="U24" s="10"/>
      <c r="V24" s="68"/>
      <c r="W24" s="68"/>
      <c r="X24" s="68"/>
      <c r="Y24" s="68"/>
      <c r="Z24" s="68"/>
    </row>
    <row r="25" spans="8:8" ht="18.0" customHeight="1">
      <c r="A25" s="64"/>
      <c r="B25" s="24"/>
      <c r="C25" s="24"/>
      <c r="D25" s="24"/>
      <c r="E25" s="39"/>
      <c r="F25" s="39"/>
      <c r="G25" s="39"/>
      <c r="H25" s="39"/>
      <c r="I25" s="39"/>
      <c r="J25" s="25"/>
      <c r="K25" s="35"/>
      <c r="L25" s="45">
        <v>7.0</v>
      </c>
      <c r="M25" s="45">
        <v>6.0</v>
      </c>
      <c r="N25" s="45">
        <v>5.0</v>
      </c>
      <c r="O25" s="45">
        <v>4.0</v>
      </c>
      <c r="P25" s="45">
        <v>3.0</v>
      </c>
      <c r="Q25" s="45">
        <v>2.0</v>
      </c>
      <c r="R25" s="45">
        <v>1.0</v>
      </c>
      <c r="S25" s="65"/>
      <c r="T25" s="65"/>
      <c r="U25" s="10"/>
      <c r="V25" s="68"/>
      <c r="W25" s="68"/>
      <c r="X25" s="68"/>
      <c r="Y25" s="68"/>
      <c r="Z25" s="68"/>
    </row>
    <row r="26" spans="8:8" ht="18.0" customHeight="1">
      <c r="A26" s="64"/>
      <c r="B26" s="24"/>
      <c r="C26" s="24"/>
      <c r="D26" s="24"/>
      <c r="E26" s="46" t="s">
        <v>21</v>
      </c>
      <c r="F26" s="48">
        <f>F20</f>
        <v>585.8</v>
      </c>
      <c r="G26" s="48">
        <f>G20</f>
        <v>584.95</v>
      </c>
      <c r="H26" s="49">
        <f>H20</f>
        <v>0.849999999999909</v>
      </c>
      <c r="I26" s="49">
        <f>I20</f>
        <v>1.6999999999999318</v>
      </c>
      <c r="J26" s="25"/>
      <c r="K26" s="50" t="s">
        <v>17</v>
      </c>
      <c r="L26" s="51"/>
      <c r="M26" s="51"/>
      <c r="N26" s="51"/>
      <c r="O26" s="51"/>
      <c r="P26" s="51"/>
      <c r="Q26" s="51"/>
      <c r="R26" s="51"/>
      <c r="S26" s="65"/>
      <c r="T26" s="65"/>
      <c r="U26" s="10"/>
      <c r="V26" s="68"/>
      <c r="W26" s="68"/>
      <c r="X26" s="68"/>
      <c r="Y26" s="68"/>
      <c r="Z26" s="68"/>
      <c r="AB26" s="70"/>
      <c r="AC26" s="70"/>
      <c r="AD26" s="70"/>
      <c r="AE26" s="70"/>
      <c r="AF26" s="70"/>
      <c r="AG26" s="70"/>
      <c r="AH26" s="70"/>
    </row>
    <row r="27" spans="8:8" ht="18.0" customHeight="1">
      <c r="A27" s="64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65"/>
      <c r="T27" s="65"/>
      <c r="U27" s="10"/>
      <c r="V27" s="68"/>
      <c r="W27" s="68"/>
      <c r="X27" s="68"/>
      <c r="Y27" s="68"/>
      <c r="Z27" s="68"/>
      <c r="AB27" s="72"/>
      <c r="AC27" s="72"/>
      <c r="AD27" s="72"/>
      <c r="AE27" s="72"/>
      <c r="AF27" s="72"/>
      <c r="AG27" s="72"/>
      <c r="AH27" s="72"/>
    </row>
    <row r="28" spans="8:8" ht="18.0" customHeight="1">
      <c r="A28" s="64"/>
      <c r="B28" s="24"/>
      <c r="C28" s="25">
        <f>B36-B20</f>
        <v>323.15</v>
      </c>
      <c r="D28" s="26" t="s">
        <v>23</v>
      </c>
      <c r="E28" s="27" t="s">
        <v>16</v>
      </c>
      <c r="F28" s="41">
        <f>(LOOKUP(DATA!D13,DATA!K2:K1494,DATA!L2:L1494))+DATA!E13/100</f>
        <v>588.25</v>
      </c>
      <c r="G28" s="41">
        <f>(LOOKUP(DATA!F13,DATA!K2:K1494,DATA!L2:L1494))+DATA!G13/100</f>
        <v>588.25</v>
      </c>
      <c r="H28" s="31">
        <f>G28-F28</f>
        <v>0.0</v>
      </c>
      <c r="I28" s="31">
        <f>G28-B20</f>
        <v>1.6000000000000227</v>
      </c>
      <c r="J28" s="25">
        <f>(B36-B20)-(H36+H28)</f>
        <v>323.15</v>
      </c>
      <c r="K28" s="56"/>
      <c r="L28" s="57">
        <v>7.0</v>
      </c>
      <c r="M28" s="57">
        <v>6.0</v>
      </c>
      <c r="N28" s="57">
        <v>5.0</v>
      </c>
      <c r="O28" s="57">
        <v>4.0</v>
      </c>
      <c r="P28" s="57">
        <v>3.0</v>
      </c>
      <c r="Q28" s="57">
        <v>2.0</v>
      </c>
      <c r="R28" s="57">
        <v>1.0</v>
      </c>
      <c r="S28" s="65"/>
      <c r="T28" s="65"/>
      <c r="U28" s="10"/>
      <c r="V28" s="68"/>
      <c r="W28" s="68"/>
      <c r="X28" s="68"/>
      <c r="Y28" s="68"/>
      <c r="Z28" s="68"/>
      <c r="AB28" s="72"/>
      <c r="AC28" s="72"/>
      <c r="AD28" s="72"/>
      <c r="AE28" s="72"/>
      <c r="AF28" s="72"/>
      <c r="AG28" s="72"/>
      <c r="AH28" s="72"/>
    </row>
    <row r="29" spans="8:8" ht="18.0" customHeight="1">
      <c r="A29" s="64"/>
      <c r="B29" s="24"/>
      <c r="C29" s="24"/>
      <c r="D29" s="24"/>
      <c r="E29" s="24"/>
      <c r="F29" s="24"/>
      <c r="G29" s="24"/>
      <c r="H29" s="24"/>
      <c r="I29" s="24"/>
      <c r="J29" s="24"/>
      <c r="K29" s="59" t="s">
        <v>17</v>
      </c>
      <c r="L29" s="36"/>
      <c r="M29" s="36"/>
      <c r="N29" s="36"/>
      <c r="O29" s="36"/>
      <c r="P29" s="36"/>
      <c r="Q29" s="36"/>
      <c r="R29" s="36"/>
      <c r="S29" s="65"/>
      <c r="T29" s="65"/>
      <c r="U29" s="10"/>
      <c r="V29" s="66"/>
      <c r="W29" s="68"/>
      <c r="X29" s="68"/>
      <c r="Y29" s="68"/>
      <c r="Z29" s="68"/>
    </row>
    <row r="30" spans="8:8" ht="18.0" customHeight="1">
      <c r="A30" s="64"/>
      <c r="B30" s="24"/>
      <c r="C30" s="24"/>
      <c r="D30" s="24"/>
      <c r="E30" s="27"/>
      <c r="F30" s="27"/>
      <c r="G30" s="27"/>
      <c r="H30" s="27"/>
      <c r="I30" s="27"/>
      <c r="J30" s="25"/>
      <c r="K30" s="59"/>
      <c r="L30" s="59"/>
      <c r="M30" s="59"/>
      <c r="N30" s="59"/>
      <c r="O30" s="59"/>
      <c r="P30" s="59"/>
      <c r="Q30" s="59"/>
      <c r="R30" s="59"/>
      <c r="S30" s="65"/>
      <c r="T30" s="65"/>
      <c r="U30" s="10"/>
      <c r="V30" s="68"/>
      <c r="W30" s="68"/>
      <c r="X30" s="68"/>
      <c r="Y30" s="68"/>
      <c r="Z30" s="68"/>
    </row>
    <row r="31" spans="8:8" ht="18.0" customHeight="1">
      <c r="A31" s="64"/>
      <c r="B31" s="24"/>
      <c r="C31" s="24"/>
      <c r="D31" s="24"/>
      <c r="E31" s="39" t="s">
        <v>18</v>
      </c>
      <c r="F31" s="41">
        <f>F28</f>
        <v>588.25</v>
      </c>
      <c r="G31" s="41">
        <f>G28</f>
        <v>588.25</v>
      </c>
      <c r="H31" s="42">
        <f>H28</f>
        <v>0.0</v>
      </c>
      <c r="I31" s="42">
        <f>I28</f>
        <v>1.6000000000000227</v>
      </c>
      <c r="J31" s="25"/>
      <c r="K31" s="59" t="s">
        <v>19</v>
      </c>
      <c r="L31" s="36"/>
      <c r="M31" s="36"/>
      <c r="N31" s="36"/>
      <c r="O31" s="36"/>
      <c r="P31" s="36"/>
      <c r="Q31" s="36"/>
      <c r="R31" s="36"/>
      <c r="S31" s="65"/>
      <c r="T31" s="65"/>
      <c r="U31" s="10"/>
      <c r="V31" s="68"/>
      <c r="W31" s="68"/>
      <c r="X31" s="68"/>
      <c r="Y31" s="68"/>
      <c r="Z31" s="68"/>
    </row>
    <row r="32" spans="8:8" ht="18.0" customHeight="1">
      <c r="A32" s="64"/>
      <c r="B32" s="24"/>
      <c r="C32" s="24"/>
      <c r="D32" s="24"/>
      <c r="E32" s="24"/>
      <c r="F32" s="24"/>
      <c r="G32" s="24"/>
      <c r="H32" s="24"/>
      <c r="I32" s="24"/>
      <c r="J32" s="24"/>
      <c r="K32" s="59"/>
      <c r="L32" s="59"/>
      <c r="M32" s="59"/>
      <c r="N32" s="59"/>
      <c r="O32" s="59"/>
      <c r="P32" s="59"/>
      <c r="Q32" s="59"/>
      <c r="R32" s="59"/>
      <c r="S32" s="65"/>
      <c r="T32" s="65"/>
      <c r="U32" s="10"/>
      <c r="V32" s="68"/>
      <c r="W32" s="68"/>
      <c r="X32" s="68"/>
      <c r="Y32" s="68"/>
      <c r="Z32" s="68"/>
    </row>
    <row r="33" spans="8:8" ht="18.0" customHeight="1">
      <c r="A33" s="64"/>
      <c r="B33" s="24"/>
      <c r="C33" s="24"/>
      <c r="D33" s="24"/>
      <c r="E33" s="39"/>
      <c r="F33" s="39"/>
      <c r="G33" s="39"/>
      <c r="H33" s="39"/>
      <c r="I33" s="39"/>
      <c r="J33" s="25"/>
      <c r="K33" s="59"/>
      <c r="L33" s="45">
        <v>7.0</v>
      </c>
      <c r="M33" s="45">
        <v>6.0</v>
      </c>
      <c r="N33" s="45">
        <v>5.0</v>
      </c>
      <c r="O33" s="45">
        <v>4.0</v>
      </c>
      <c r="P33" s="45">
        <v>3.0</v>
      </c>
      <c r="Q33" s="45">
        <v>2.0</v>
      </c>
      <c r="R33" s="45">
        <v>1.0</v>
      </c>
      <c r="S33" s="65"/>
      <c r="T33" s="65"/>
      <c r="U33" s="10"/>
      <c r="V33" s="68"/>
      <c r="W33" s="68"/>
      <c r="X33" s="68"/>
      <c r="Y33" s="68"/>
      <c r="Z33" s="68"/>
    </row>
    <row r="34" spans="8:8" ht="18.0" customHeight="1">
      <c r="A34" s="64"/>
      <c r="B34" s="24"/>
      <c r="C34" s="24"/>
      <c r="D34" s="24"/>
      <c r="E34" s="46" t="s">
        <v>21</v>
      </c>
      <c r="F34" s="48">
        <f>F28</f>
        <v>588.25</v>
      </c>
      <c r="G34" s="48">
        <f>G28</f>
        <v>588.25</v>
      </c>
      <c r="H34" s="73">
        <f>H28</f>
        <v>0.0</v>
      </c>
      <c r="I34" s="49">
        <f>I28</f>
        <v>1.6000000000000227</v>
      </c>
      <c r="J34" s="25"/>
      <c r="K34" s="63" t="s">
        <v>17</v>
      </c>
      <c r="L34" s="51"/>
      <c r="M34" s="51"/>
      <c r="N34" s="51"/>
      <c r="O34" s="51"/>
      <c r="P34" s="51"/>
      <c r="Q34" s="51"/>
      <c r="R34" s="51"/>
      <c r="S34" s="65"/>
      <c r="T34" s="65"/>
      <c r="U34" s="10"/>
      <c r="V34" s="68"/>
      <c r="W34" s="68"/>
      <c r="X34" s="68"/>
      <c r="Y34" s="68"/>
      <c r="Z34" s="68"/>
    </row>
    <row r="35" spans="8:8" ht="18.0" customHeight="1">
      <c r="A35" s="64"/>
      <c r="B35" s="24"/>
      <c r="C35" s="25"/>
      <c r="D35" s="26"/>
      <c r="E35" s="26"/>
      <c r="F35" s="26"/>
      <c r="G35" s="26"/>
      <c r="H35" s="73"/>
      <c r="I35" s="49"/>
      <c r="J35" s="25"/>
      <c r="K35" s="63"/>
      <c r="L35" s="63"/>
      <c r="M35" s="63"/>
      <c r="N35" s="63"/>
      <c r="O35" s="63"/>
      <c r="P35" s="63"/>
      <c r="Q35" s="63"/>
      <c r="R35" s="63"/>
      <c r="S35" s="65"/>
      <c r="T35" s="65"/>
      <c r="U35" s="10"/>
      <c r="V35" s="68"/>
      <c r="W35" s="68"/>
      <c r="X35" s="68"/>
      <c r="Y35" s="68"/>
      <c r="Z35" s="68"/>
    </row>
    <row r="36" spans="8:8" ht="18.0" customHeight="1">
      <c r="A36" s="23" t="s">
        <v>23</v>
      </c>
      <c r="B36" s="74">
        <v>909.8</v>
      </c>
      <c r="C36" s="25"/>
      <c r="D36" s="26" t="s">
        <v>24</v>
      </c>
      <c r="E36" s="27" t="s">
        <v>16</v>
      </c>
      <c r="F36" s="28">
        <f>(LOOKUP(DATA!D16,DATA!K2:K1494,DATA!L2:L1494))+DATA!E16/100</f>
        <v>909.80000000001</v>
      </c>
      <c r="G36" s="28">
        <f>(LOOKUP(DATA!F16,DATA!K2:K1494,DATA!L2:L1494))+DATA!G16/100</f>
        <v>909.80000000001</v>
      </c>
      <c r="H36" s="31">
        <f>F36-G36</f>
        <v>0.0</v>
      </c>
      <c r="I36" s="31">
        <f>B36-G36</f>
        <v>-1.000444171950221E-11</v>
      </c>
      <c r="J36" s="25"/>
      <c r="K36" s="32"/>
      <c r="L36" s="33">
        <v>7.0</v>
      </c>
      <c r="M36" s="33">
        <v>6.0</v>
      </c>
      <c r="N36" s="33">
        <v>5.0</v>
      </c>
      <c r="O36" s="57">
        <v>4.0</v>
      </c>
      <c r="P36" s="57">
        <v>3.0</v>
      </c>
      <c r="Q36" s="57">
        <v>2.0</v>
      </c>
      <c r="R36" s="57">
        <v>1.0</v>
      </c>
      <c r="S36" s="65"/>
      <c r="T36" s="65"/>
      <c r="U36" s="10"/>
    </row>
    <row r="37" spans="8:8" ht="18.0" customHeight="1">
      <c r="A37" s="23"/>
      <c r="B37" s="74"/>
      <c r="C37" s="25"/>
      <c r="D37" s="25"/>
      <c r="E37" s="25"/>
      <c r="F37" s="25"/>
      <c r="G37" s="25"/>
      <c r="H37" s="25"/>
      <c r="I37" s="25"/>
      <c r="J37" s="25"/>
      <c r="K37" s="35" t="s">
        <v>17</v>
      </c>
      <c r="L37" s="36"/>
      <c r="M37" s="36"/>
      <c r="N37" s="36"/>
      <c r="O37" s="36"/>
      <c r="P37" s="36"/>
      <c r="Q37" s="36"/>
      <c r="R37" s="36"/>
      <c r="S37" s="65"/>
      <c r="T37" s="65"/>
      <c r="U37" s="10"/>
    </row>
    <row r="38" spans="8:8" ht="18.0" customHeight="1">
      <c r="A38" s="23"/>
      <c r="B38" s="74"/>
      <c r="C38" s="25"/>
      <c r="D38" s="25"/>
      <c r="E38" s="27"/>
      <c r="F38" s="27"/>
      <c r="G38" s="27"/>
      <c r="H38" s="27"/>
      <c r="I38" s="27"/>
      <c r="J38" s="25"/>
      <c r="K38" s="35"/>
      <c r="L38" s="35"/>
      <c r="M38" s="35"/>
      <c r="N38" s="35"/>
      <c r="O38" s="35"/>
      <c r="P38" s="35"/>
      <c r="Q38" s="35"/>
      <c r="R38" s="35"/>
      <c r="S38" s="65"/>
      <c r="T38" s="65"/>
      <c r="U38" s="10"/>
    </row>
    <row r="39" spans="8:8" ht="18.0" customHeight="1">
      <c r="A39" s="23"/>
      <c r="B39" s="74"/>
      <c r="C39" s="25"/>
      <c r="D39" s="25"/>
      <c r="E39" s="39" t="s">
        <v>18</v>
      </c>
      <c r="F39" s="40">
        <f>F36</f>
        <v>909.80000000001</v>
      </c>
      <c r="G39" s="40">
        <f>G36</f>
        <v>909.80000000001</v>
      </c>
      <c r="H39" s="42">
        <f>H36</f>
        <v>0.0</v>
      </c>
      <c r="I39" s="42">
        <f>I36</f>
        <v>-1.000444171950221E-11</v>
      </c>
      <c r="J39" s="25"/>
      <c r="K39" s="35" t="s">
        <v>19</v>
      </c>
      <c r="L39" s="36"/>
      <c r="M39" s="36"/>
      <c r="N39" s="36"/>
      <c r="O39" s="36"/>
      <c r="P39" s="36"/>
      <c r="Q39" s="36"/>
      <c r="R39" s="36"/>
      <c r="S39" s="65"/>
      <c r="T39" s="65"/>
      <c r="U39" s="10"/>
    </row>
    <row r="40" spans="8:8" ht="18.0" customHeight="1">
      <c r="A40" s="23"/>
      <c r="B40" s="74"/>
      <c r="C40" s="25"/>
      <c r="D40" s="25"/>
      <c r="E40" s="25"/>
      <c r="F40" s="25"/>
      <c r="G40" s="25"/>
      <c r="H40" s="25"/>
      <c r="I40" s="25"/>
      <c r="J40" s="25"/>
      <c r="K40" s="35"/>
      <c r="L40" s="35"/>
      <c r="M40" s="35"/>
      <c r="N40" s="35"/>
      <c r="O40" s="35"/>
      <c r="P40" s="35"/>
      <c r="Q40" s="35"/>
      <c r="R40" s="35"/>
      <c r="S40" s="65"/>
      <c r="T40" s="65"/>
      <c r="U40" s="10"/>
    </row>
    <row r="41" spans="8:8" ht="18.0" customHeight="1">
      <c r="A41" s="23"/>
      <c r="B41" s="74"/>
      <c r="C41" s="25"/>
      <c r="D41" s="25"/>
      <c r="E41" s="39"/>
      <c r="F41" s="39"/>
      <c r="G41" s="39"/>
      <c r="H41" s="39"/>
      <c r="I41" s="39"/>
      <c r="J41" s="25"/>
      <c r="K41" s="35"/>
      <c r="L41" s="45">
        <v>1.0</v>
      </c>
      <c r="M41" s="45">
        <v>6.0</v>
      </c>
      <c r="N41" s="45">
        <v>5.0</v>
      </c>
      <c r="O41" s="45">
        <v>4.0</v>
      </c>
      <c r="P41" s="45">
        <v>3.0</v>
      </c>
      <c r="Q41" s="45">
        <v>2.0</v>
      </c>
      <c r="R41" s="45">
        <v>1.0</v>
      </c>
      <c r="S41" s="65"/>
      <c r="T41" s="65"/>
      <c r="U41" s="10"/>
    </row>
    <row r="42" spans="8:8" ht="18.0" customHeight="1">
      <c r="A42" s="23"/>
      <c r="B42" s="74"/>
      <c r="C42" s="25"/>
      <c r="D42" s="25"/>
      <c r="E42" s="46" t="s">
        <v>21</v>
      </c>
      <c r="F42" s="47">
        <f>F39</f>
        <v>909.80000000001</v>
      </c>
      <c r="G42" s="47">
        <f>G39</f>
        <v>909.80000000001</v>
      </c>
      <c r="H42" s="49">
        <f>H36</f>
        <v>0.0</v>
      </c>
      <c r="I42" s="49">
        <f>I36</f>
        <v>-1.000444171950221E-11</v>
      </c>
      <c r="J42" s="25"/>
      <c r="K42" s="50" t="s">
        <v>17</v>
      </c>
      <c r="L42" s="51"/>
      <c r="M42" s="51"/>
      <c r="N42" s="51"/>
      <c r="O42" s="51"/>
      <c r="P42" s="51"/>
      <c r="Q42" s="51"/>
      <c r="R42" s="51"/>
      <c r="S42" s="65"/>
      <c r="T42" s="65"/>
      <c r="U42" s="10"/>
    </row>
    <row r="43" spans="8:8" ht="18.0" customHeight="1">
      <c r="A43" s="23"/>
      <c r="B43" s="7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65"/>
      <c r="T43" s="65"/>
      <c r="U43" s="10"/>
    </row>
    <row r="44" spans="8:8" ht="18.0" customHeight="1">
      <c r="A44" s="23"/>
      <c r="B44" s="74"/>
      <c r="C44" s="25">
        <f>B52-B36</f>
        <v>290.20000000000005</v>
      </c>
      <c r="D44" s="26" t="s">
        <v>25</v>
      </c>
      <c r="E44" s="27" t="s">
        <v>16</v>
      </c>
      <c r="F44" s="53">
        <f>(LOOKUP(DATA!D19,DATA!K2:K1494,DATA!L2:L1494))+DATA!E19/100</f>
        <v>909.80000000001</v>
      </c>
      <c r="G44" s="53">
        <f>(LOOKUP(DATA!F19,DATA!K2:K1494,DATA!L2:L1494))+DATA!G19/100</f>
        <v>909.80000000001</v>
      </c>
      <c r="H44" s="31">
        <f>G44-F44</f>
        <v>0.0</v>
      </c>
      <c r="I44" s="31">
        <f>G44-B36</f>
        <v>1.000444171950221E-11</v>
      </c>
      <c r="J44" s="75">
        <f>(B52-B36)+(I52+I44)</f>
        <v>290.20000000001</v>
      </c>
      <c r="K44" s="56"/>
      <c r="L44" s="57">
        <v>7.0</v>
      </c>
      <c r="M44" s="57">
        <v>6.0</v>
      </c>
      <c r="N44" s="57">
        <v>5.0</v>
      </c>
      <c r="O44" s="57">
        <v>4.0</v>
      </c>
      <c r="P44" s="57">
        <v>3.0</v>
      </c>
      <c r="Q44" s="57">
        <v>2.0</v>
      </c>
      <c r="R44" s="57">
        <v>1.0</v>
      </c>
      <c r="S44" s="65"/>
      <c r="T44" s="65"/>
      <c r="U44" s="10"/>
    </row>
    <row r="45" spans="8:8" ht="18.0" customHeight="1">
      <c r="A45" s="23"/>
      <c r="B45" s="74"/>
      <c r="C45" s="25"/>
      <c r="D45" s="25"/>
      <c r="E45" s="25"/>
      <c r="F45" s="25"/>
      <c r="G45" s="25"/>
      <c r="H45" s="25"/>
      <c r="I45" s="25"/>
      <c r="J45" s="25"/>
      <c r="K45" s="59" t="s">
        <v>17</v>
      </c>
      <c r="L45" s="36"/>
      <c r="M45" s="36"/>
      <c r="N45" s="36"/>
      <c r="O45" s="36"/>
      <c r="P45" s="36"/>
      <c r="Q45" s="36"/>
      <c r="R45" s="36"/>
      <c r="S45" s="65"/>
      <c r="T45" s="65"/>
      <c r="U45" s="10"/>
    </row>
    <row r="46" spans="8:8" ht="18.0" customHeight="1">
      <c r="A46" s="23"/>
      <c r="B46" s="74"/>
      <c r="C46" s="25"/>
      <c r="D46" s="25"/>
      <c r="E46" s="27"/>
      <c r="F46" s="27"/>
      <c r="G46" s="27"/>
      <c r="H46" s="27"/>
      <c r="I46" s="27"/>
      <c r="J46" s="75"/>
      <c r="K46" s="59"/>
      <c r="L46" s="59"/>
      <c r="M46" s="59"/>
      <c r="N46" s="59"/>
      <c r="O46" s="59"/>
      <c r="P46" s="59"/>
      <c r="Q46" s="59"/>
      <c r="R46" s="59"/>
      <c r="S46" s="65"/>
      <c r="T46" s="65"/>
      <c r="U46" s="10"/>
    </row>
    <row r="47" spans="8:8" ht="18.0" customHeight="1">
      <c r="A47" s="23"/>
      <c r="B47" s="74"/>
      <c r="C47" s="25"/>
      <c r="D47" s="25"/>
      <c r="E47" s="39" t="s">
        <v>18</v>
      </c>
      <c r="F47" s="41">
        <f>F44</f>
        <v>909.80000000001</v>
      </c>
      <c r="G47" s="41">
        <f>G44</f>
        <v>909.80000000001</v>
      </c>
      <c r="H47" s="42">
        <f>H44</f>
        <v>0.0</v>
      </c>
      <c r="I47" s="42">
        <f>I44</f>
        <v>1.000444171950221E-11</v>
      </c>
      <c r="J47" s="75"/>
      <c r="K47" s="59" t="s">
        <v>19</v>
      </c>
      <c r="L47" s="36"/>
      <c r="M47" s="36"/>
      <c r="N47" s="36"/>
      <c r="O47" s="36"/>
      <c r="P47" s="36"/>
      <c r="Q47" s="36"/>
      <c r="R47" s="36"/>
      <c r="S47" s="65"/>
      <c r="T47" s="65"/>
      <c r="U47" s="10"/>
    </row>
    <row r="48" spans="8:8" ht="18.0" customHeight="1">
      <c r="A48" s="23"/>
      <c r="B48" s="74"/>
      <c r="C48" s="25"/>
      <c r="D48" s="25"/>
      <c r="E48" s="25"/>
      <c r="F48" s="25"/>
      <c r="G48" s="25"/>
      <c r="H48" s="25"/>
      <c r="I48" s="25"/>
      <c r="J48" s="25"/>
      <c r="K48" s="59"/>
      <c r="L48" s="59"/>
      <c r="M48" s="59"/>
      <c r="N48" s="59"/>
      <c r="O48" s="59"/>
      <c r="P48" s="59"/>
      <c r="Q48" s="59"/>
      <c r="R48" s="59"/>
      <c r="S48" s="65"/>
      <c r="T48" s="65"/>
      <c r="U48" s="10"/>
    </row>
    <row r="49" spans="8:8" ht="18.0" customHeight="1">
      <c r="A49" s="23"/>
      <c r="B49" s="74"/>
      <c r="C49" s="25"/>
      <c r="D49" s="25"/>
      <c r="E49" s="39"/>
      <c r="F49" s="39"/>
      <c r="G49" s="39"/>
      <c r="H49" s="39"/>
      <c r="I49" s="39"/>
      <c r="J49" s="75"/>
      <c r="K49" s="59"/>
      <c r="L49" s="45">
        <v>7.0</v>
      </c>
      <c r="M49" s="45">
        <v>6.0</v>
      </c>
      <c r="N49" s="57">
        <v>5.0</v>
      </c>
      <c r="O49" s="45">
        <v>4.0</v>
      </c>
      <c r="P49" s="45">
        <v>3.0</v>
      </c>
      <c r="Q49" s="45">
        <v>2.0</v>
      </c>
      <c r="R49" s="45">
        <v>1.0</v>
      </c>
      <c r="S49" s="65"/>
      <c r="T49" s="65"/>
      <c r="U49" s="10"/>
    </row>
    <row r="50" spans="8:8" ht="18.0" customHeight="1">
      <c r="A50" s="23"/>
      <c r="B50" s="74"/>
      <c r="C50" s="25"/>
      <c r="D50" s="25"/>
      <c r="E50" s="46" t="s">
        <v>21</v>
      </c>
      <c r="F50" s="48">
        <f>F44</f>
        <v>909.80000000001</v>
      </c>
      <c r="G50" s="48">
        <f>G47</f>
        <v>909.80000000001</v>
      </c>
      <c r="H50" s="49">
        <f>G50-F50</f>
        <v>0.0</v>
      </c>
      <c r="I50" s="49">
        <f>I44</f>
        <v>1.000444171950221E-11</v>
      </c>
      <c r="J50" s="75"/>
      <c r="K50" s="63" t="s">
        <v>17</v>
      </c>
      <c r="L50" s="51"/>
      <c r="M50" s="51"/>
      <c r="N50" s="51"/>
      <c r="O50" s="51"/>
      <c r="P50" s="51"/>
      <c r="Q50" s="51"/>
      <c r="R50" s="51"/>
      <c r="S50" s="65"/>
      <c r="T50" s="65"/>
      <c r="U50" s="10"/>
    </row>
    <row r="51" spans="8:8" ht="18.0" customHeight="1">
      <c r="A51" s="23"/>
      <c r="B51" s="74"/>
      <c r="C51" s="25"/>
      <c r="D51" s="26"/>
      <c r="E51" s="26"/>
      <c r="F51" s="26"/>
      <c r="G51" s="26"/>
      <c r="H51" s="26"/>
      <c r="I51" s="26"/>
      <c r="J51" s="75"/>
      <c r="K51" s="63"/>
      <c r="L51" s="63"/>
      <c r="M51" s="63"/>
      <c r="N51" s="63"/>
      <c r="O51" s="63"/>
      <c r="P51" s="63"/>
      <c r="Q51" s="63"/>
      <c r="R51" s="63"/>
      <c r="S51" s="65"/>
      <c r="T51" s="65"/>
      <c r="U51" s="10"/>
    </row>
    <row r="52" spans="8:8" ht="18.0" customHeight="1">
      <c r="A52" s="23" t="s">
        <v>25</v>
      </c>
      <c r="B52" s="74">
        <v>1200.0</v>
      </c>
      <c r="C52" s="25"/>
      <c r="D52" s="26" t="s">
        <v>23</v>
      </c>
      <c r="E52" s="27" t="s">
        <v>16</v>
      </c>
      <c r="F52" s="53">
        <f>(LOOKUP(DATA!D22,DATA!K2:K1494,DATA!L2:L1494))+DATA!E22/100</f>
        <v>1200.0</v>
      </c>
      <c r="G52" s="53">
        <f>(LOOKUP(DATA!F22,DATA!K2:K1494,DATA!L2:L1494))+DATA!G22/100</f>
        <v>1200.0</v>
      </c>
      <c r="H52" s="31">
        <f>G52-F52</f>
        <v>0.0</v>
      </c>
      <c r="I52" s="31">
        <f>G52-B52</f>
        <v>0.0</v>
      </c>
      <c r="J52" s="75"/>
      <c r="K52" s="56"/>
      <c r="L52" s="57">
        <v>7.0</v>
      </c>
      <c r="M52" s="57">
        <v>6.0</v>
      </c>
      <c r="N52" s="57">
        <v>5.0</v>
      </c>
      <c r="O52" s="57">
        <v>4.0</v>
      </c>
      <c r="P52" s="57">
        <v>3.0</v>
      </c>
      <c r="Q52" s="57">
        <v>2.0</v>
      </c>
      <c r="R52" s="57">
        <v>1.0</v>
      </c>
      <c r="S52" s="76"/>
      <c r="T52" s="77"/>
      <c r="U52" s="10"/>
    </row>
    <row r="53" spans="8:8" ht="18.0" customHeight="1">
      <c r="A53" s="23"/>
      <c r="B53" s="74"/>
      <c r="C53" s="25"/>
      <c r="D53" s="25"/>
      <c r="E53" s="25"/>
      <c r="F53" s="25"/>
      <c r="G53" s="25"/>
      <c r="H53" s="25"/>
      <c r="I53" s="25"/>
      <c r="J53" s="25"/>
      <c r="K53" s="59" t="s">
        <v>17</v>
      </c>
      <c r="L53" s="36"/>
      <c r="M53" s="36"/>
      <c r="N53" s="36"/>
      <c r="O53" s="36"/>
      <c r="P53" s="36"/>
      <c r="Q53" s="36"/>
      <c r="R53" s="36"/>
      <c r="S53" s="78"/>
      <c r="T53" s="77"/>
      <c r="U53" s="10"/>
    </row>
    <row r="54" spans="8:8" ht="18.0" customHeight="1">
      <c r="A54" s="23"/>
      <c r="B54" s="74"/>
      <c r="C54" s="25"/>
      <c r="D54" s="25"/>
      <c r="E54" s="27"/>
      <c r="F54" s="27"/>
      <c r="G54" s="27"/>
      <c r="H54" s="27"/>
      <c r="I54" s="27"/>
      <c r="J54" s="75"/>
      <c r="K54" s="59"/>
      <c r="L54" s="59"/>
      <c r="M54" s="59"/>
      <c r="N54" s="59"/>
      <c r="O54" s="59"/>
      <c r="P54" s="59"/>
      <c r="Q54" s="59"/>
      <c r="R54" s="59"/>
      <c r="S54" s="78"/>
      <c r="T54" s="77"/>
      <c r="U54" s="10"/>
    </row>
    <row r="55" spans="8:8" ht="18.0" customHeight="1">
      <c r="A55" s="23"/>
      <c r="B55" s="74"/>
      <c r="C55" s="25"/>
      <c r="D55" s="25"/>
      <c r="E55" s="39" t="s">
        <v>18</v>
      </c>
      <c r="F55" s="79">
        <f>F52</f>
        <v>1200.0</v>
      </c>
      <c r="G55" s="79">
        <f>G52</f>
        <v>1200.0</v>
      </c>
      <c r="H55" s="42">
        <f>H52</f>
        <v>0.0</v>
      </c>
      <c r="I55" s="42">
        <f>I52</f>
        <v>0.0</v>
      </c>
      <c r="J55" s="75"/>
      <c r="K55" s="59" t="s">
        <v>19</v>
      </c>
      <c r="L55" s="36"/>
      <c r="M55" s="36"/>
      <c r="N55" s="36"/>
      <c r="O55" s="36"/>
      <c r="P55" s="36"/>
      <c r="Q55" s="36"/>
      <c r="R55" s="36"/>
      <c r="S55" s="78"/>
      <c r="T55" s="77"/>
      <c r="U55" s="10"/>
    </row>
    <row r="56" spans="8:8" ht="18.0" customHeight="1">
      <c r="A56" s="23"/>
      <c r="B56" s="74"/>
      <c r="C56" s="25"/>
      <c r="D56" s="25"/>
      <c r="E56" s="25"/>
      <c r="F56" s="25"/>
      <c r="G56" s="25"/>
      <c r="H56" s="25"/>
      <c r="I56" s="25"/>
      <c r="J56" s="25"/>
      <c r="K56" s="59"/>
      <c r="L56" s="59"/>
      <c r="M56" s="59"/>
      <c r="N56" s="59"/>
      <c r="O56" s="59"/>
      <c r="P56" s="59"/>
      <c r="Q56" s="59"/>
      <c r="R56" s="59"/>
      <c r="S56" s="78"/>
      <c r="T56" s="77"/>
      <c r="U56" s="10"/>
    </row>
    <row r="57" spans="8:8" ht="18.0" customHeight="1">
      <c r="A57" s="23"/>
      <c r="B57" s="74"/>
      <c r="C57" s="25"/>
      <c r="D57" s="25"/>
      <c r="E57" s="39"/>
      <c r="F57" s="39"/>
      <c r="G57" s="39"/>
      <c r="H57" s="39"/>
      <c r="I57" s="39"/>
      <c r="J57" s="75"/>
      <c r="K57" s="59"/>
      <c r="L57" s="45">
        <v>7.0</v>
      </c>
      <c r="M57" s="45">
        <v>6.0</v>
      </c>
      <c r="N57" s="57">
        <v>5.0</v>
      </c>
      <c r="O57" s="45">
        <v>4.0</v>
      </c>
      <c r="P57" s="45">
        <v>3.0</v>
      </c>
      <c r="Q57" s="45">
        <v>2.0</v>
      </c>
      <c r="R57" s="45">
        <v>1.0</v>
      </c>
      <c r="S57" s="78"/>
      <c r="T57" s="77"/>
      <c r="U57" s="10"/>
    </row>
    <row r="58" spans="8:8" ht="18.0" customHeight="1">
      <c r="A58" s="23"/>
      <c r="B58" s="74"/>
      <c r="C58" s="25"/>
      <c r="D58" s="25"/>
      <c r="E58" s="46" t="s">
        <v>21</v>
      </c>
      <c r="F58" s="80">
        <f>F55</f>
        <v>1200.0</v>
      </c>
      <c r="G58" s="80">
        <f>G55</f>
        <v>1200.0</v>
      </c>
      <c r="H58" s="49">
        <f>H52</f>
        <v>0.0</v>
      </c>
      <c r="I58" s="49">
        <f>I52</f>
        <v>0.0</v>
      </c>
      <c r="J58" s="75"/>
      <c r="K58" s="63" t="s">
        <v>17</v>
      </c>
      <c r="L58" s="51"/>
      <c r="M58" s="51"/>
      <c r="N58" s="51"/>
      <c r="O58" s="51"/>
      <c r="P58" s="51"/>
      <c r="Q58" s="51"/>
      <c r="R58" s="51"/>
      <c r="S58" s="78"/>
      <c r="T58" s="77"/>
      <c r="U58" s="10"/>
    </row>
    <row r="59" spans="8:8" ht="18.0" customHeight="1">
      <c r="A59" s="23"/>
      <c r="B59" s="74"/>
      <c r="C59" s="25"/>
      <c r="D59" s="25"/>
      <c r="E59" s="25"/>
      <c r="F59" s="25"/>
      <c r="G59" s="25"/>
      <c r="H59" s="25"/>
      <c r="I59" s="25"/>
      <c r="J59" s="75"/>
      <c r="K59" s="63"/>
      <c r="L59" s="63"/>
      <c r="M59" s="63"/>
      <c r="N59" s="63"/>
      <c r="O59" s="63"/>
      <c r="P59" s="63"/>
      <c r="Q59" s="63"/>
      <c r="R59" s="63"/>
      <c r="S59" s="78"/>
      <c r="T59" s="77"/>
      <c r="U59" s="10"/>
    </row>
    <row r="60" spans="8:8" ht="18.0" customHeight="1">
      <c r="A60" s="23"/>
      <c r="B60" s="74"/>
      <c r="C60" s="25">
        <f>1257.7-B52</f>
        <v>57.700000000000045</v>
      </c>
      <c r="D60" s="26" t="s">
        <v>15</v>
      </c>
      <c r="E60" s="52" t="s">
        <v>16</v>
      </c>
      <c r="F60" s="53">
        <f>(LOOKUP(DATA!D22,DATA!K2:K1494,DATA!L2:L1494))+DATA!E25/100</f>
        <v>1200.0</v>
      </c>
      <c r="G60" s="53">
        <f>(LOOKUP(DATA!F22,DATA!K2:K1494,DATA!L2:L1494))+DATA!G25/100</f>
        <v>1200.0</v>
      </c>
      <c r="H60" s="54">
        <f>G60-F60</f>
        <v>0.0</v>
      </c>
      <c r="I60" s="55">
        <f>G60-B52</f>
        <v>0.0</v>
      </c>
      <c r="J60" s="25">
        <f>1257.7-G60</f>
        <v>57.700000000000045</v>
      </c>
      <c r="K60" s="56"/>
      <c r="L60" s="57">
        <v>7.0</v>
      </c>
      <c r="M60" s="57">
        <v>6.0</v>
      </c>
      <c r="N60" s="57">
        <v>5.0</v>
      </c>
      <c r="O60" s="57">
        <v>4.0</v>
      </c>
      <c r="P60" s="57">
        <v>3.0</v>
      </c>
      <c r="Q60" s="57">
        <v>2.0</v>
      </c>
      <c r="R60" s="57">
        <v>1.0</v>
      </c>
      <c r="S60" s="78"/>
      <c r="T60" s="81"/>
      <c r="U60" s="10"/>
    </row>
    <row r="61" spans="8:8" ht="18.0" customHeight="1">
      <c r="A61" s="23"/>
      <c r="B61" s="74"/>
      <c r="C61" s="25"/>
      <c r="D61" s="25"/>
      <c r="E61" s="52"/>
      <c r="F61" s="53"/>
      <c r="G61" s="53"/>
      <c r="H61" s="53"/>
      <c r="I61" s="55"/>
      <c r="J61" s="25"/>
      <c r="K61" s="59" t="s">
        <v>17</v>
      </c>
      <c r="L61" s="36"/>
      <c r="M61" s="36"/>
      <c r="N61" s="36"/>
      <c r="O61" s="36"/>
      <c r="P61" s="36"/>
      <c r="Q61" s="36"/>
      <c r="R61" s="36"/>
      <c r="S61" s="78"/>
      <c r="T61" s="81"/>
      <c r="U61" s="10"/>
      <c r="V61" s="82"/>
    </row>
    <row r="62" spans="8:8" ht="18.0" customHeight="1">
      <c r="A62" s="23"/>
      <c r="B62" s="74"/>
      <c r="C62" s="25"/>
      <c r="D62" s="25"/>
      <c r="E62" s="52"/>
      <c r="F62" s="53"/>
      <c r="G62" s="53"/>
      <c r="H62" s="53"/>
      <c r="I62" s="55"/>
      <c r="J62" s="25"/>
      <c r="K62" s="59"/>
      <c r="L62" s="59"/>
      <c r="M62" s="59"/>
      <c r="N62" s="59"/>
      <c r="O62" s="59"/>
      <c r="P62" s="59"/>
      <c r="Q62" s="59"/>
      <c r="R62" s="59"/>
      <c r="S62" s="78"/>
      <c r="T62" s="81"/>
      <c r="U62" s="10"/>
    </row>
    <row r="63" spans="8:8" ht="18.0" customHeight="1">
      <c r="A63" s="23"/>
      <c r="B63" s="74"/>
      <c r="C63" s="25"/>
      <c r="D63" s="25"/>
      <c r="E63" s="60" t="s">
        <v>18</v>
      </c>
      <c r="F63" s="41">
        <f>F60</f>
        <v>1200.0</v>
      </c>
      <c r="G63" s="41">
        <f>G60</f>
        <v>1200.0</v>
      </c>
      <c r="H63" s="42">
        <f>G63-F63</f>
        <v>0.0</v>
      </c>
      <c r="I63" s="83">
        <f>G63-B52</f>
        <v>0.0</v>
      </c>
      <c r="J63" s="25"/>
      <c r="K63" s="59" t="s">
        <v>19</v>
      </c>
      <c r="L63" s="36"/>
      <c r="M63" s="36"/>
      <c r="N63" s="36"/>
      <c r="O63" s="36"/>
      <c r="P63" s="36"/>
      <c r="Q63" s="36"/>
      <c r="R63" s="36"/>
      <c r="S63" s="78"/>
      <c r="T63" s="81"/>
      <c r="U63" s="10"/>
    </row>
    <row r="64" spans="8:8" ht="18.0" customHeight="1">
      <c r="A64" s="23"/>
      <c r="B64" s="74"/>
      <c r="C64" s="25"/>
      <c r="D64" s="25"/>
      <c r="E64" s="60"/>
      <c r="F64" s="41"/>
      <c r="G64" s="41"/>
      <c r="H64" s="41"/>
      <c r="I64" s="83"/>
      <c r="J64" s="25"/>
      <c r="K64" s="59"/>
      <c r="L64" s="59"/>
      <c r="M64" s="59"/>
      <c r="N64" s="59"/>
      <c r="O64" s="59"/>
      <c r="P64" s="59"/>
      <c r="Q64" s="59"/>
      <c r="R64" s="59"/>
      <c r="S64" s="78"/>
      <c r="T64" s="81"/>
      <c r="U64" s="10"/>
    </row>
    <row r="65" spans="8:8" ht="18.0" customHeight="1">
      <c r="A65" s="23"/>
      <c r="B65" s="74"/>
      <c r="C65" s="25"/>
      <c r="D65" s="25"/>
      <c r="E65" s="60"/>
      <c r="F65" s="41"/>
      <c r="G65" s="41"/>
      <c r="H65" s="41"/>
      <c r="I65" s="83"/>
      <c r="J65" s="25"/>
      <c r="K65" s="59"/>
      <c r="L65" s="45">
        <v>7.0</v>
      </c>
      <c r="M65" s="45">
        <v>6.0</v>
      </c>
      <c r="N65" s="45">
        <v>5.0</v>
      </c>
      <c r="O65" s="45">
        <v>4.0</v>
      </c>
      <c r="P65" s="45">
        <v>3.0</v>
      </c>
      <c r="Q65" s="45">
        <v>2.0</v>
      </c>
      <c r="R65" s="45">
        <v>1.0</v>
      </c>
      <c r="S65" s="78"/>
      <c r="T65" s="81"/>
      <c r="U65" s="10"/>
    </row>
    <row r="66" spans="8:8" ht="18.0" customHeight="1">
      <c r="A66" s="23"/>
      <c r="B66" s="74"/>
      <c r="C66" s="25"/>
      <c r="D66" s="25"/>
      <c r="E66" s="61" t="s">
        <v>21</v>
      </c>
      <c r="F66" s="48">
        <f>F60</f>
        <v>1200.0</v>
      </c>
      <c r="G66" s="48">
        <f>G60</f>
        <v>1200.0</v>
      </c>
      <c r="H66" s="62">
        <f>G66-F66</f>
        <v>0.0</v>
      </c>
      <c r="I66" s="62">
        <f>G66-B52</f>
        <v>0.0</v>
      </c>
      <c r="J66" s="25"/>
      <c r="K66" s="63" t="s">
        <v>17</v>
      </c>
      <c r="L66" s="51"/>
      <c r="M66" s="51"/>
      <c r="N66" s="51"/>
      <c r="O66" s="51"/>
      <c r="P66" s="51"/>
      <c r="Q66" s="51"/>
      <c r="R66" s="51"/>
      <c r="S66" s="78"/>
      <c r="T66" s="81"/>
      <c r="U66" s="10"/>
    </row>
    <row r="67" spans="8:8" ht="18.0" customHeight="1">
      <c r="A67" s="23"/>
      <c r="B67" s="74"/>
      <c r="C67" s="25"/>
      <c r="D67" s="25"/>
      <c r="E67" s="61"/>
      <c r="F67" s="48"/>
      <c r="G67" s="48"/>
      <c r="H67" s="62"/>
      <c r="I67" s="62"/>
      <c r="J67" s="25"/>
      <c r="K67" s="25"/>
      <c r="L67" s="25"/>
      <c r="M67" s="25"/>
      <c r="N67" s="25"/>
      <c r="O67" s="25"/>
      <c r="P67" s="25"/>
      <c r="Q67" s="25"/>
      <c r="R67" s="25"/>
      <c r="S67" s="84"/>
      <c r="T67" s="81"/>
      <c r="U67" s="10"/>
    </row>
    <row r="68" spans="8:8" ht="35.25" customHeight="1">
      <c r="A68" s="85" t="s">
        <v>26</v>
      </c>
      <c r="B68" s="86" t="s">
        <v>27</v>
      </c>
      <c r="C68" s="86"/>
      <c r="D68" s="86"/>
      <c r="E68" s="87" t="s">
        <v>28</v>
      </c>
      <c r="F68" s="87"/>
      <c r="G68" s="88" t="s">
        <v>29</v>
      </c>
      <c r="H68" s="88"/>
      <c r="I68" s="88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</row>
    <row r="69" spans="8:8" ht="35.25" customHeight="1">
      <c r="A69" s="85"/>
      <c r="B69" s="86"/>
      <c r="C69" s="86"/>
      <c r="D69" s="86"/>
      <c r="E69" s="90">
        <f>I4+I12+I20+I28+I36+I44+I52+I60</f>
        <v>16.45</v>
      </c>
      <c r="F69" s="90"/>
      <c r="G69" s="91">
        <f>1257.7-E69-227</f>
        <v>1014.25</v>
      </c>
      <c r="H69" s="91"/>
      <c r="I69" s="91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</row>
    <row r="70" spans="8:8" ht="2.25" customHeight="1">
      <c r="A70" s="85"/>
      <c r="B70" s="92" t="s">
        <v>30</v>
      </c>
      <c r="C70" s="92"/>
      <c r="D70" s="92"/>
      <c r="E70" s="90" t="e">
        <f ca="1">#REF!</f>
        <v>#REF!</v>
      </c>
      <c r="F70" s="93" t="e">
        <f ca="1">E70</f>
        <v>#REF!</v>
      </c>
      <c r="G70" s="93"/>
      <c r="H70" s="91" t="e">
        <f ca="1">E70</f>
        <v>#REF!</v>
      </c>
      <c r="I70" s="91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</row>
    <row r="71" spans="8:8" ht="0.75" hidden="1" customHeight="1">
      <c r="A71" s="85"/>
      <c r="B71" s="94"/>
      <c r="C71" s="94"/>
      <c r="D71" s="94"/>
      <c r="E71" s="90"/>
      <c r="F71" s="95"/>
      <c r="G71" s="95"/>
      <c r="H71" s="96"/>
      <c r="I71" s="96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</row>
    <row r="72" spans="8:8" ht="51.0" customHeight="1">
      <c r="A72" s="97" t="s">
        <v>31</v>
      </c>
      <c r="B72" s="97"/>
      <c r="C72" s="97"/>
      <c r="D72" s="97"/>
      <c r="E72" s="97"/>
      <c r="F72" s="98" t="s">
        <v>32</v>
      </c>
      <c r="G72" s="98"/>
      <c r="H72" s="98"/>
      <c r="I72" s="98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</row>
    <row r="73" spans="8:8" ht="15.0" customHeight="1">
      <c r="A73" s="97"/>
      <c r="B73" s="97"/>
      <c r="C73" s="97"/>
      <c r="D73" s="97"/>
      <c r="E73" s="97"/>
      <c r="F73" s="98"/>
      <c r="G73" s="98"/>
      <c r="H73" s="98"/>
      <c r="I73" s="98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</row>
    <row r="74" spans="8:8" ht="15.0" customHeight="1">
      <c r="A74" s="97"/>
      <c r="B74" s="97"/>
      <c r="C74" s="97"/>
      <c r="D74" s="97"/>
      <c r="E74" s="97"/>
      <c r="F74" s="98"/>
      <c r="G74" s="98"/>
      <c r="H74" s="98"/>
      <c r="I74" s="98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</row>
    <row r="75" spans="8:8" ht="15.0" customHeight="1">
      <c r="A75" s="97"/>
      <c r="B75" s="97"/>
      <c r="C75" s="97"/>
      <c r="D75" s="97"/>
      <c r="E75" s="97"/>
      <c r="F75" s="98"/>
      <c r="G75" s="98"/>
      <c r="H75" s="98"/>
      <c r="I75" s="98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</row>
    <row r="76" spans="8:8" ht="41.25" customHeight="1">
      <c r="A76" s="97"/>
      <c r="B76" s="97"/>
      <c r="C76" s="97"/>
      <c r="D76" s="97"/>
      <c r="E76" s="97"/>
      <c r="F76" s="98"/>
      <c r="G76" s="98"/>
      <c r="H76" s="98"/>
      <c r="I76" s="98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</row>
    <row r="77" spans="8:8" ht="17.2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</row>
    <row r="79" spans="8:8" ht="15.0" customHeight="1"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</row>
    <row r="80" spans="8:8" ht="15.0" customHeight="1"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</row>
    <row r="84" spans="8:8" ht="15.0" customHeight="1">
      <c r="O84" s="101"/>
    </row>
    <row r="89" spans="8:8" ht="15.0" hidden="1" customHeight="1"/>
  </sheetData>
  <mergeCells count="386">
    <mergeCell ref="O34:O35"/>
    <mergeCell ref="A3:B3"/>
    <mergeCell ref="A4:A19"/>
    <mergeCell ref="A1:E1"/>
    <mergeCell ref="L23:L24"/>
    <mergeCell ref="E39:E41"/>
    <mergeCell ref="R37:R38"/>
    <mergeCell ref="H20:H22"/>
    <mergeCell ref="E26:E27"/>
    <mergeCell ref="O45:O46"/>
    <mergeCell ref="I58:I59"/>
    <mergeCell ref="E50:E51"/>
    <mergeCell ref="E44:E46"/>
    <mergeCell ref="E47:E49"/>
    <mergeCell ref="Q37:Q38"/>
    <mergeCell ref="G23:G25"/>
    <mergeCell ref="D36:D43"/>
    <mergeCell ref="O55:O56"/>
    <mergeCell ref="L53:L54"/>
    <mergeCell ref="R55:R56"/>
    <mergeCell ref="E31:E33"/>
    <mergeCell ref="L58:L59"/>
    <mergeCell ref="P23:P24"/>
    <mergeCell ref="F39:F41"/>
    <mergeCell ref="N37:N38"/>
    <mergeCell ref="O39:O40"/>
    <mergeCell ref="G4:G6"/>
    <mergeCell ref="I23:I25"/>
    <mergeCell ref="AF27:AF28"/>
    <mergeCell ref="G26:G27"/>
    <mergeCell ref="P31:P32"/>
    <mergeCell ref="H31:H33"/>
    <mergeCell ref="M15:M16"/>
    <mergeCell ref="Q26:Q27"/>
    <mergeCell ref="K13:K14"/>
    <mergeCell ref="B4:B19"/>
    <mergeCell ref="AF21:AF22"/>
    <mergeCell ref="K7:K8"/>
    <mergeCell ref="P5:P6"/>
    <mergeCell ref="AD21:AD22"/>
    <mergeCell ref="M21:M22"/>
    <mergeCell ref="Q21:Q22"/>
    <mergeCell ref="AG21:AG22"/>
    <mergeCell ref="AH21:AH22"/>
    <mergeCell ref="P10:P11"/>
    <mergeCell ref="B36:B51"/>
    <mergeCell ref="O26:O27"/>
    <mergeCell ref="K34:K35"/>
    <mergeCell ref="J28:J43"/>
    <mergeCell ref="A2:E2"/>
    <mergeCell ref="L21:L22"/>
    <mergeCell ref="N13:N14"/>
    <mergeCell ref="F4:F6"/>
    <mergeCell ref="L15:L16"/>
    <mergeCell ref="K15:K16"/>
    <mergeCell ref="N15:N16"/>
    <mergeCell ref="R34:R35"/>
    <mergeCell ref="L42:L43"/>
    <mergeCell ref="Q42:Q43"/>
    <mergeCell ref="M34:M35"/>
    <mergeCell ref="O42:O43"/>
    <mergeCell ref="N42:N43"/>
    <mergeCell ref="Q13:Q14"/>
    <mergeCell ref="Q2:R2"/>
    <mergeCell ref="AB21:AB22"/>
    <mergeCell ref="F10:F11"/>
    <mergeCell ref="K26:K27"/>
    <mergeCell ref="AB27:AB28"/>
    <mergeCell ref="C28:C43"/>
    <mergeCell ref="M23:M24"/>
    <mergeCell ref="N26:N27"/>
    <mergeCell ref="A36:A51"/>
    <mergeCell ref="M55:M56"/>
    <mergeCell ref="D60:D67"/>
    <mergeCell ref="A77:T77"/>
    <mergeCell ref="E18:E19"/>
    <mergeCell ref="Q15:Q16"/>
    <mergeCell ref="I12:I14"/>
    <mergeCell ref="L13:L14"/>
    <mergeCell ref="G12:G14"/>
    <mergeCell ref="S28:T35"/>
    <mergeCell ref="I15:I17"/>
    <mergeCell ref="H18:H19"/>
    <mergeCell ref="R47:R48"/>
    <mergeCell ref="E36:E38"/>
    <mergeCell ref="O18:O19"/>
    <mergeCell ref="H12:H14"/>
    <mergeCell ref="G36:G38"/>
    <mergeCell ref="N18:N19"/>
    <mergeCell ref="G15:G17"/>
    <mergeCell ref="H36:H38"/>
    <mergeCell ref="I36:I38"/>
    <mergeCell ref="P13:P14"/>
    <mergeCell ref="F36:F38"/>
    <mergeCell ref="E15:E17"/>
    <mergeCell ref="R13:R14"/>
    <mergeCell ref="F18:F19"/>
    <mergeCell ref="M26:M27"/>
    <mergeCell ref="AC21:AC22"/>
    <mergeCell ref="F7:F9"/>
    <mergeCell ref="E23:E25"/>
    <mergeCell ref="P26:P27"/>
    <mergeCell ref="M42:M43"/>
    <mergeCell ref="I31:I33"/>
    <mergeCell ref="C44:C59"/>
    <mergeCell ref="O21:O22"/>
    <mergeCell ref="H4:H6"/>
    <mergeCell ref="Q34:Q35"/>
    <mergeCell ref="F1:O2"/>
    <mergeCell ref="R15:R16"/>
    <mergeCell ref="G18:G19"/>
    <mergeCell ref="F15:F17"/>
    <mergeCell ref="M18:M19"/>
    <mergeCell ref="P15:P16"/>
    <mergeCell ref="L18:L19"/>
    <mergeCell ref="K18:K19"/>
    <mergeCell ref="O15:O16"/>
    <mergeCell ref="B20:B35"/>
    <mergeCell ref="R18:R19"/>
    <mergeCell ref="L34:L35"/>
    <mergeCell ref="F23:F25"/>
    <mergeCell ref="S36:T43"/>
    <mergeCell ref="O23:O24"/>
    <mergeCell ref="I18:I19"/>
    <mergeCell ref="F47:F49"/>
    <mergeCell ref="Q18:Q19"/>
    <mergeCell ref="E20:E22"/>
    <mergeCell ref="AG27:AG28"/>
    <mergeCell ref="I26:I27"/>
    <mergeCell ref="H26:H27"/>
    <mergeCell ref="AC27:AC28"/>
    <mergeCell ref="AD27:AD28"/>
    <mergeCell ref="AH27:AH28"/>
    <mergeCell ref="P34:P35"/>
    <mergeCell ref="G39:G41"/>
    <mergeCell ref="M10:M11"/>
    <mergeCell ref="J12:J27"/>
    <mergeCell ref="Q10:Q11"/>
    <mergeCell ref="M45:M46"/>
    <mergeCell ref="E7:E9"/>
    <mergeCell ref="R21:R22"/>
    <mergeCell ref="G31:G33"/>
    <mergeCell ref="F12:F14"/>
    <mergeCell ref="E12:E14"/>
    <mergeCell ref="M13:M14"/>
    <mergeCell ref="D4:D11"/>
    <mergeCell ref="Z20:Z21"/>
    <mergeCell ref="K39:K40"/>
    <mergeCell ref="F20:F22"/>
    <mergeCell ref="H39:H41"/>
    <mergeCell ref="AE27:AE28"/>
    <mergeCell ref="F26:F27"/>
    <mergeCell ref="I39:I41"/>
    <mergeCell ref="S20:T27"/>
    <mergeCell ref="M37:M38"/>
    <mergeCell ref="L37:L38"/>
    <mergeCell ref="K37:K38"/>
    <mergeCell ref="P37:P38"/>
    <mergeCell ref="Z22:Z23"/>
    <mergeCell ref="B68:D69"/>
    <mergeCell ref="P53:P54"/>
    <mergeCell ref="F52:F54"/>
    <mergeCell ref="P61:P62"/>
    <mergeCell ref="H42:H43"/>
    <mergeCell ref="H63:H65"/>
    <mergeCell ref="E42:E43"/>
    <mergeCell ref="E28:E30"/>
    <mergeCell ref="F28:F30"/>
    <mergeCell ref="D20:D27"/>
    <mergeCell ref="H15:H17"/>
    <mergeCell ref="P66:P67"/>
    <mergeCell ref="O13:O14"/>
    <mergeCell ref="G60:G62"/>
    <mergeCell ref="G63:G65"/>
    <mergeCell ref="R61:R62"/>
    <mergeCell ref="M39:M40"/>
    <mergeCell ref="K47:K48"/>
    <mergeCell ref="L66:L67"/>
    <mergeCell ref="N39:N40"/>
    <mergeCell ref="Q39:Q40"/>
    <mergeCell ref="Q50:Q51"/>
    <mergeCell ref="K42:K43"/>
    <mergeCell ref="N34:N35"/>
    <mergeCell ref="R42:R43"/>
    <mergeCell ref="O37:O38"/>
    <mergeCell ref="K3:R3"/>
    <mergeCell ref="S4:T11"/>
    <mergeCell ref="T1:T2"/>
    <mergeCell ref="N55:N56"/>
    <mergeCell ref="F66:F67"/>
    <mergeCell ref="Q66:Q67"/>
    <mergeCell ref="A20:A35"/>
    <mergeCell ref="P18:P19"/>
    <mergeCell ref="R23:R24"/>
    <mergeCell ref="K31:K32"/>
    <mergeCell ref="M63:M64"/>
    <mergeCell ref="R39:R40"/>
    <mergeCell ref="I66:I67"/>
    <mergeCell ref="P63:P64"/>
    <mergeCell ref="M61:M62"/>
    <mergeCell ref="N63:N64"/>
    <mergeCell ref="O66:O67"/>
    <mergeCell ref="G66:G67"/>
    <mergeCell ref="D44:D51"/>
    <mergeCell ref="F44:F46"/>
    <mergeCell ref="R53:R54"/>
    <mergeCell ref="C60:C67"/>
    <mergeCell ref="E58:E59"/>
    <mergeCell ref="I63:I65"/>
    <mergeCell ref="N61:N62"/>
    <mergeCell ref="H66:H67"/>
    <mergeCell ref="K50:K51"/>
    <mergeCell ref="I50:I51"/>
    <mergeCell ref="T52:T59"/>
    <mergeCell ref="D52:D59"/>
    <mergeCell ref="L50:L51"/>
    <mergeCell ref="G44:G46"/>
    <mergeCell ref="N53:N54"/>
    <mergeCell ref="Q45:Q46"/>
    <mergeCell ref="Q63:Q64"/>
    <mergeCell ref="E52:E54"/>
    <mergeCell ref="Q61:Q62"/>
    <mergeCell ref="F70:G70"/>
    <mergeCell ref="E69:F69"/>
    <mergeCell ref="F63:F65"/>
    <mergeCell ref="H70:I70"/>
    <mergeCell ref="E63:E65"/>
    <mergeCell ref="F60:F62"/>
    <mergeCell ref="P50:P51"/>
    <mergeCell ref="M53:M54"/>
    <mergeCell ref="M50:M51"/>
    <mergeCell ref="N50:N51"/>
    <mergeCell ref="K53:K54"/>
    <mergeCell ref="G69:I69"/>
    <mergeCell ref="G52:G54"/>
    <mergeCell ref="O50:O51"/>
    <mergeCell ref="Q53:Q54"/>
    <mergeCell ref="E66:E67"/>
    <mergeCell ref="O61:O62"/>
    <mergeCell ref="C12:C27"/>
    <mergeCell ref="N47:N48"/>
    <mergeCell ref="H52:H54"/>
    <mergeCell ref="R50:R51"/>
    <mergeCell ref="Q47:Q48"/>
    <mergeCell ref="F55:F57"/>
    <mergeCell ref="O58:O59"/>
    <mergeCell ref="L55:L56"/>
    <mergeCell ref="E68:F68"/>
    <mergeCell ref="F72:I76"/>
    <mergeCell ref="E79:P80"/>
    <mergeCell ref="H10:H11"/>
    <mergeCell ref="P47:P48"/>
    <mergeCell ref="Q31:Q32"/>
    <mergeCell ref="H50:H51"/>
    <mergeCell ref="H44:H46"/>
    <mergeCell ref="R58:R59"/>
    <mergeCell ref="L47:L48"/>
    <mergeCell ref="I55:I57"/>
    <mergeCell ref="N45:N46"/>
    <mergeCell ref="J60:J67"/>
    <mergeCell ref="K66:K67"/>
    <mergeCell ref="R66:R67"/>
    <mergeCell ref="N66:N67"/>
    <mergeCell ref="I10:I11"/>
    <mergeCell ref="G28:G30"/>
    <mergeCell ref="P42:P43"/>
    <mergeCell ref="M7:M8"/>
    <mergeCell ref="K21:K22"/>
    <mergeCell ref="Q5:Q6"/>
    <mergeCell ref="N23:N24"/>
    <mergeCell ref="J44:J59"/>
    <mergeCell ref="I7:I9"/>
    <mergeCell ref="AE21:AE22"/>
    <mergeCell ref="R5:R6"/>
    <mergeCell ref="E4:E6"/>
    <mergeCell ref="P21:P22"/>
    <mergeCell ref="R7:R8"/>
    <mergeCell ref="G34:G35"/>
    <mergeCell ref="Q7:Q8"/>
    <mergeCell ref="H34:H35"/>
    <mergeCell ref="I34:I35"/>
    <mergeCell ref="R26:R27"/>
    <mergeCell ref="I4:I6"/>
    <mergeCell ref="K23:K24"/>
    <mergeCell ref="P7:P8"/>
    <mergeCell ref="B52:B67"/>
    <mergeCell ref="E34:E35"/>
    <mergeCell ref="N21:N22"/>
    <mergeCell ref="A52:A67"/>
    <mergeCell ref="O7:O8"/>
    <mergeCell ref="F34:F35"/>
    <mergeCell ref="D28:D35"/>
    <mergeCell ref="E10:E11"/>
    <mergeCell ref="L5:L6"/>
    <mergeCell ref="O63:O64"/>
    <mergeCell ref="M66:M67"/>
    <mergeCell ref="B70:D70"/>
    <mergeCell ref="B71:D71"/>
    <mergeCell ref="F31:F33"/>
    <mergeCell ref="N5:N6"/>
    <mergeCell ref="Q23:Q24"/>
    <mergeCell ref="C4:C11"/>
    <mergeCell ref="O5:O6"/>
    <mergeCell ref="G20:G22"/>
    <mergeCell ref="L26:L27"/>
    <mergeCell ref="S12:T19"/>
    <mergeCell ref="D12:D19"/>
    <mergeCell ref="N7:N8"/>
    <mergeCell ref="K5:K6"/>
    <mergeCell ref="H23:H25"/>
    <mergeCell ref="E55:E57"/>
    <mergeCell ref="A68:A71"/>
    <mergeCell ref="A72:E76"/>
    <mergeCell ref="R45:R46"/>
    <mergeCell ref="O10:O11"/>
    <mergeCell ref="K45:K46"/>
    <mergeCell ref="O47:O48"/>
    <mergeCell ref="Q58:Q59"/>
    <mergeCell ref="F50:F51"/>
    <mergeCell ref="M47:M48"/>
    <mergeCell ref="H60:H62"/>
    <mergeCell ref="N29:N30"/>
    <mergeCell ref="K10:K11"/>
    <mergeCell ref="I42:I43"/>
    <mergeCell ref="H28:H30"/>
    <mergeCell ref="L61:L62"/>
    <mergeCell ref="Q29:Q30"/>
    <mergeCell ref="I20:I22"/>
    <mergeCell ref="P45:P46"/>
    <mergeCell ref="H47:H49"/>
    <mergeCell ref="I44:I46"/>
    <mergeCell ref="Q55:Q56"/>
    <mergeCell ref="M58:M59"/>
    <mergeCell ref="G47:G49"/>
    <mergeCell ref="P55:P56"/>
    <mergeCell ref="F58:F59"/>
    <mergeCell ref="F42:F43"/>
    <mergeCell ref="P58:P59"/>
    <mergeCell ref="E60:E62"/>
    <mergeCell ref="K55:K56"/>
    <mergeCell ref="H58:H59"/>
    <mergeCell ref="K58:K59"/>
    <mergeCell ref="G58:G59"/>
    <mergeCell ref="F71:G71"/>
    <mergeCell ref="N58:N59"/>
    <mergeCell ref="H55:H57"/>
    <mergeCell ref="R31:R32"/>
    <mergeCell ref="K29:K30"/>
    <mergeCell ref="N10:N11"/>
    <mergeCell ref="O29:O30"/>
    <mergeCell ref="M31:M32"/>
    <mergeCell ref="N31:N32"/>
    <mergeCell ref="T60:T67"/>
    <mergeCell ref="J68:T76"/>
    <mergeCell ref="P29:P30"/>
    <mergeCell ref="I60:I62"/>
    <mergeCell ref="H7:H9"/>
    <mergeCell ref="P39:P40"/>
    <mergeCell ref="G42:G43"/>
    <mergeCell ref="M29:M30"/>
    <mergeCell ref="G10:G11"/>
    <mergeCell ref="S44:T51"/>
    <mergeCell ref="K63:K64"/>
    <mergeCell ref="L39:L40"/>
    <mergeCell ref="R10:R11"/>
    <mergeCell ref="R29:R30"/>
    <mergeCell ref="G7:G9"/>
    <mergeCell ref="K61:K62"/>
    <mergeCell ref="L29:L30"/>
    <mergeCell ref="O53:O54"/>
    <mergeCell ref="L7:L8"/>
    <mergeCell ref="I52:I54"/>
    <mergeCell ref="M5:M6"/>
    <mergeCell ref="L45:L46"/>
    <mergeCell ref="R63:R64"/>
    <mergeCell ref="G50:G51"/>
    <mergeCell ref="J4:J11"/>
    <mergeCell ref="O31:O32"/>
    <mergeCell ref="L63:L64"/>
    <mergeCell ref="I28:I30"/>
    <mergeCell ref="G55:G57"/>
    <mergeCell ref="L10:L11"/>
    <mergeCell ref="L31:L32"/>
    <mergeCell ref="I47:I49"/>
    <mergeCell ref="G68:I68"/>
    <mergeCell ref="H71:I71"/>
  </mergeCells>
  <pageMargins left="0.118055555555556" right="0.275694444444444" top="0.157638888888889" bottom="0.196527777777778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dimension ref="A1:BB103"/>
  <sheetViews>
    <sheetView workbookViewId="0" topLeftCell="AV1" zoomScale="85">
      <selection activeCell="AY1" sqref="AY1"/>
    </sheetView>
  </sheetViews>
  <sheetFormatPr defaultRowHeight="15.0" defaultColWidth="10" zeroHeight="1"/>
  <cols>
    <col min="1" max="1" customWidth="1" width="0.56640625" style="102"/>
    <col min="2" max="4" customWidth="1" width="0.56640625" style="1"/>
    <col min="5" max="6" customWidth="1" width="0.56640625" style="103"/>
    <col min="7" max="24" customWidth="1" width="0.56640625" style="1"/>
    <col min="25" max="26" customWidth="1" width="0.56640625" style="103"/>
    <col min="27" max="47" customWidth="1" width="0.56640625" style="1"/>
    <col min="48" max="49" customWidth="1" width="15.566406" style="1"/>
  </cols>
  <sheetData>
    <row r="1" spans="8:8" ht="15.0" customHeight="1">
      <c r="E1" s="104"/>
      <c r="F1" s="104"/>
      <c r="M1" s="105"/>
      <c r="N1" s="105" t="s">
        <v>33</v>
      </c>
      <c r="O1" s="105"/>
      <c r="P1" s="1">
        <v>1.0</v>
      </c>
      <c r="Q1" s="1">
        <v>2.0</v>
      </c>
      <c r="R1" s="1">
        <v>3.0</v>
      </c>
      <c r="S1" s="1">
        <v>4.0</v>
      </c>
      <c r="T1" s="1">
        <v>5.0</v>
      </c>
      <c r="U1" s="1">
        <v>6.0</v>
      </c>
      <c r="V1" s="1">
        <v>7.0</v>
      </c>
      <c r="Y1" s="104"/>
      <c r="Z1" s="104"/>
      <c r="AK1" s="105"/>
      <c r="AL1" s="105" t="s">
        <v>33</v>
      </c>
      <c r="AM1" s="105"/>
      <c r="AN1" s="1">
        <v>1.0</v>
      </c>
      <c r="AO1" s="1">
        <v>2.0</v>
      </c>
      <c r="AP1" s="1">
        <v>3.0</v>
      </c>
      <c r="AQ1" s="1">
        <v>4.0</v>
      </c>
      <c r="AR1" s="1">
        <v>5.0</v>
      </c>
      <c r="AS1" s="1">
        <v>6.0</v>
      </c>
      <c r="AT1" s="1">
        <v>7.0</v>
      </c>
      <c r="AV1" s="103">
        <f>E4</f>
        <v>0.0</v>
      </c>
      <c r="AW1" s="103">
        <f>F4</f>
        <v>0.0</v>
      </c>
      <c r="AY1" s="103">
        <f>Y4</f>
        <v>5.0</v>
      </c>
      <c r="AZ1" s="103">
        <f>Z4</f>
        <v>0.0</v>
      </c>
    </row>
    <row r="2" spans="8:8" ht="15.0" customHeight="1">
      <c r="E2" s="104"/>
      <c r="F2" s="104"/>
      <c r="M2" s="106">
        <v>1.0</v>
      </c>
      <c r="N2" s="107">
        <f>E4</f>
        <v>0.0</v>
      </c>
      <c r="O2" s="107">
        <f>F4</f>
        <v>0.0</v>
      </c>
      <c r="P2" s="108">
        <f>'فرم نقشه برداری'!AT21</f>
        <v>0.0</v>
      </c>
      <c r="Q2" s="108">
        <f>'فرم نقشه برداری'!AS21</f>
        <v>0.0</v>
      </c>
      <c r="R2" s="108">
        <f>'فرم نقشه برداری'!AR21</f>
        <v>0.0</v>
      </c>
      <c r="S2" s="108">
        <f>'فرم نقشه برداری'!AQ21</f>
        <v>0.0</v>
      </c>
      <c r="T2" s="108">
        <f>'فرم نقشه برداری'!AP21</f>
        <v>0.0</v>
      </c>
      <c r="U2" s="108">
        <f>'فرم نقشه برداری'!AO21</f>
        <v>0.0</v>
      </c>
      <c r="V2" s="108">
        <f>'فرم نقشه برداری'!AN21</f>
        <v>0.0</v>
      </c>
      <c r="Y2" s="104"/>
      <c r="Z2" s="104"/>
      <c r="AK2" s="106">
        <v>1.0</v>
      </c>
      <c r="AL2" s="107">
        <f>Y4</f>
        <v>5.0</v>
      </c>
      <c r="AM2" s="107">
        <f>Z4</f>
        <v>0.0</v>
      </c>
      <c r="AN2" s="108">
        <f>'فرم نقشه برداری'!AT23</f>
        <v>0.0</v>
      </c>
      <c r="AO2" s="108">
        <f>'فرم نقشه برداری'!AS23</f>
        <v>0.0</v>
      </c>
      <c r="AP2" s="108">
        <f>'فرم نقشه برداری'!AR23</f>
        <v>0.0</v>
      </c>
      <c r="AQ2" s="108">
        <f>'فرم نقشه برداری'!AQ23</f>
        <v>0.0</v>
      </c>
      <c r="AR2" s="108">
        <f>'فرم نقشه برداری'!AP23</f>
        <v>0.0</v>
      </c>
      <c r="AS2" s="108">
        <f>'فرم نقشه برداری'!AO23</f>
        <v>0.0</v>
      </c>
      <c r="AT2" s="108">
        <f>'فرم نقشه برداری'!AN23</f>
        <v>0.0</v>
      </c>
      <c r="AV2" s="103">
        <f>E5</f>
        <v>0.0</v>
      </c>
      <c r="AW2" s="103">
        <f>F5</f>
        <v>1.5</v>
      </c>
      <c r="AY2" s="103">
        <f>Y5</f>
        <v>5.0</v>
      </c>
      <c r="AZ2" s="103">
        <f>Z5</f>
        <v>1.5</v>
      </c>
    </row>
    <row r="3" spans="8:8" ht="15.0" customHeight="1">
      <c r="A3" s="109" t="s">
        <v>34</v>
      </c>
      <c r="B3" s="110" t="s">
        <v>35</v>
      </c>
      <c r="E3" s="111" t="s">
        <v>36</v>
      </c>
      <c r="F3" s="111"/>
      <c r="G3" s="102"/>
      <c r="H3" s="112" t="s">
        <v>37</v>
      </c>
      <c r="I3" s="112"/>
      <c r="K3" s="113" t="s">
        <v>38</v>
      </c>
      <c r="L3" s="113"/>
      <c r="M3" s="106"/>
      <c r="N3" s="102">
        <f>K4</f>
        <v>0.0</v>
      </c>
      <c r="O3" s="102">
        <f>L4</f>
        <v>0.0</v>
      </c>
      <c r="W3" s="110" t="s">
        <v>34</v>
      </c>
      <c r="X3" s="110" t="s">
        <v>35</v>
      </c>
      <c r="Y3" s="114" t="s">
        <v>39</v>
      </c>
      <c r="Z3" s="114"/>
      <c r="AA3" s="113" t="s">
        <v>40</v>
      </c>
      <c r="AB3" s="113"/>
      <c r="AD3" s="113" t="s">
        <v>37</v>
      </c>
      <c r="AE3" s="113"/>
      <c r="AG3" s="113" t="s">
        <v>41</v>
      </c>
      <c r="AH3" s="113"/>
      <c r="AI3" s="113" t="s">
        <v>42</v>
      </c>
      <c r="AJ3" s="113"/>
      <c r="AK3" s="106"/>
      <c r="AL3" s="102">
        <f>AG4</f>
        <v>5.0</v>
      </c>
      <c r="AM3" s="102">
        <f>AH4</f>
        <v>0.0</v>
      </c>
      <c r="AV3" s="103">
        <f>E6</f>
        <v>0.0032</v>
      </c>
      <c r="AW3" s="103">
        <f>F6</f>
        <v>1.5998</v>
      </c>
      <c r="AY3" s="103">
        <f>Y6</f>
        <v>5.0032</v>
      </c>
      <c r="AZ3" s="103">
        <f>Z6</f>
        <v>1.5998</v>
      </c>
    </row>
    <row r="4" spans="8:8" ht="15.0" customHeight="1">
      <c r="A4" s="115">
        <v>1.0</v>
      </c>
      <c r="B4" s="116">
        <v>1.0</v>
      </c>
      <c r="C4" s="116"/>
      <c r="D4" s="116"/>
      <c r="E4" s="117">
        <f>K4+(P2*H4)</f>
        <v>0.0</v>
      </c>
      <c r="F4" s="117">
        <f>L4+(Q2*I4)</f>
        <v>0.0</v>
      </c>
      <c r="G4" s="115"/>
      <c r="H4" s="115">
        <v>-0.01</v>
      </c>
      <c r="I4" s="115">
        <v>0.0</v>
      </c>
      <c r="J4" s="116"/>
      <c r="K4" s="116">
        <v>0.0</v>
      </c>
      <c r="L4" s="116">
        <v>0.0</v>
      </c>
      <c r="M4" s="115"/>
      <c r="N4" s="115"/>
      <c r="O4" s="115"/>
      <c r="P4" s="116"/>
      <c r="Q4" s="116"/>
      <c r="R4" s="116"/>
      <c r="S4" s="116"/>
      <c r="T4" s="116"/>
      <c r="U4" s="116"/>
      <c r="V4" s="116"/>
      <c r="W4" s="116">
        <v>1.0</v>
      </c>
      <c r="X4" s="116">
        <v>1.0</v>
      </c>
      <c r="Y4" s="104">
        <f>AA4+5</f>
        <v>5.0</v>
      </c>
      <c r="Z4" s="104">
        <f>AB4</f>
        <v>0.0</v>
      </c>
      <c r="AA4" s="116">
        <f>AI4+(AN2*AD4)</f>
        <v>0.0</v>
      </c>
      <c r="AB4" s="116">
        <f>AJ4+(AO2*AE4)</f>
        <v>0.0</v>
      </c>
      <c r="AC4" s="116"/>
      <c r="AD4" s="116">
        <f>H4</f>
        <v>-0.01</v>
      </c>
      <c r="AE4" s="116">
        <f>I4</f>
        <v>0.0</v>
      </c>
      <c r="AF4" s="116"/>
      <c r="AG4" s="68">
        <f>AI4+5</f>
        <v>5.0</v>
      </c>
      <c r="AH4" s="68">
        <f>AJ4</f>
        <v>0.0</v>
      </c>
      <c r="AI4" s="116">
        <v>0.0</v>
      </c>
      <c r="AJ4" s="116">
        <v>0.0</v>
      </c>
      <c r="AK4" s="115"/>
      <c r="AL4" s="115"/>
      <c r="AM4" s="115"/>
      <c r="AN4" s="116"/>
      <c r="AO4" s="116"/>
      <c r="AP4" s="116"/>
      <c r="AQ4" s="116"/>
      <c r="AR4" s="116"/>
      <c r="AS4" s="116"/>
      <c r="AT4" s="116"/>
      <c r="AV4" s="103">
        <f>E7</f>
        <v>0.0135</v>
      </c>
      <c r="AW4" s="103">
        <f>F7</f>
        <v>1.6993</v>
      </c>
      <c r="AY4" s="103">
        <f>Y7</f>
        <v>5.0135</v>
      </c>
      <c r="AZ4" s="103">
        <f>Z7</f>
        <v>1.6993</v>
      </c>
    </row>
    <row r="5" spans="8:8" ht="15.0" customHeight="1">
      <c r="A5" s="115">
        <v>2.0</v>
      </c>
      <c r="B5" s="116">
        <v>2.0</v>
      </c>
      <c r="C5" s="116"/>
      <c r="D5" s="116"/>
      <c r="E5" s="117">
        <f>K5+(Q2*H5)</f>
        <v>0.0</v>
      </c>
      <c r="F5" s="117">
        <f>L5+(R2*I5)</f>
        <v>1.5</v>
      </c>
      <c r="G5" s="115"/>
      <c r="H5" s="115">
        <v>-0.01</v>
      </c>
      <c r="I5" s="115">
        <v>0.0</v>
      </c>
      <c r="J5" s="116"/>
      <c r="K5" s="116">
        <v>0.0</v>
      </c>
      <c r="L5" s="116">
        <v>1.5</v>
      </c>
      <c r="M5" s="118">
        <v>2.0</v>
      </c>
      <c r="N5" s="117">
        <f>E5</f>
        <v>0.0</v>
      </c>
      <c r="O5" s="117">
        <f>F5</f>
        <v>1.5</v>
      </c>
      <c r="P5" s="116"/>
      <c r="Q5" s="116"/>
      <c r="R5" s="116"/>
      <c r="S5" s="116"/>
      <c r="T5" s="116"/>
      <c r="U5" s="116"/>
      <c r="V5" s="116"/>
      <c r="W5" s="116">
        <v>2.0</v>
      </c>
      <c r="X5" s="116">
        <v>2.0</v>
      </c>
      <c r="Y5" s="104">
        <f>AA5+5</f>
        <v>5.0</v>
      </c>
      <c r="Z5" s="104">
        <f>AB5</f>
        <v>1.5</v>
      </c>
      <c r="AA5" s="116">
        <f>AI5+(AO2*AD5)</f>
        <v>0.0</v>
      </c>
      <c r="AB5" s="116">
        <f>AJ5+(AP2*AE5)</f>
        <v>1.5</v>
      </c>
      <c r="AC5" s="116"/>
      <c r="AD5" s="116">
        <v>-0.01</v>
      </c>
      <c r="AE5" s="116">
        <v>0.0</v>
      </c>
      <c r="AF5" s="116"/>
      <c r="AG5" s="68">
        <f>AI5+5</f>
        <v>5.0</v>
      </c>
      <c r="AH5" s="68">
        <f>AJ5</f>
        <v>1.5</v>
      </c>
      <c r="AI5" s="116">
        <v>0.0</v>
      </c>
      <c r="AJ5" s="116">
        <v>1.5</v>
      </c>
      <c r="AK5" s="118">
        <v>2.0</v>
      </c>
      <c r="AL5" s="117">
        <f>Y5</f>
        <v>5.0</v>
      </c>
      <c r="AM5" s="117">
        <f>Z5</f>
        <v>1.5</v>
      </c>
      <c r="AN5" s="116"/>
      <c r="AO5" s="116"/>
      <c r="AP5" s="116"/>
      <c r="AQ5" s="116"/>
      <c r="AR5" s="116"/>
      <c r="AS5" s="116"/>
      <c r="AT5" s="116"/>
      <c r="AV5" s="103">
        <f>E8</f>
        <v>0.0306</v>
      </c>
      <c r="AW5" s="103">
        <f>F8</f>
        <v>1.7978</v>
      </c>
      <c r="AY5" s="103">
        <f>Y8</f>
        <v>5.0306</v>
      </c>
      <c r="AZ5" s="103">
        <f>Z8</f>
        <v>1.7978</v>
      </c>
    </row>
    <row r="6" spans="8:8" ht="15.0" customHeight="1">
      <c r="A6" s="115">
        <v>2.0</v>
      </c>
      <c r="B6" s="1">
        <v>3.0</v>
      </c>
      <c r="E6" s="107">
        <f>K6+(Q2*H6)</f>
        <v>0.0032</v>
      </c>
      <c r="F6" s="107">
        <f>L6+(Q2*I6)</f>
        <v>1.5998</v>
      </c>
      <c r="G6" s="102"/>
      <c r="H6" s="102">
        <v>-0.00998</v>
      </c>
      <c r="I6" s="102">
        <v>6.99999999999967E-4</v>
      </c>
      <c r="K6" s="1">
        <v>0.0032</v>
      </c>
      <c r="L6" s="1">
        <v>1.5998</v>
      </c>
      <c r="M6" s="118"/>
      <c r="N6" s="102">
        <f>K5</f>
        <v>0.0</v>
      </c>
      <c r="O6" s="102">
        <f>L5</f>
        <v>1.5</v>
      </c>
      <c r="W6" s="116">
        <v>2.0</v>
      </c>
      <c r="X6" s="1">
        <v>3.0</v>
      </c>
      <c r="Y6" s="104">
        <f>AA6+5</f>
        <v>5.0032</v>
      </c>
      <c r="Z6" s="104">
        <f>AB6</f>
        <v>1.5998</v>
      </c>
      <c r="AA6" s="1">
        <f>AI6+(AO2*AD6)</f>
        <v>0.0032</v>
      </c>
      <c r="AB6" s="1">
        <f>AJ6+(AO2*AE6)</f>
        <v>1.5998</v>
      </c>
      <c r="AD6" s="1">
        <v>-0.00998</v>
      </c>
      <c r="AE6" s="1">
        <v>6.99999999999967E-4</v>
      </c>
      <c r="AG6" s="68">
        <f>AI6+5</f>
        <v>5.0032</v>
      </c>
      <c r="AH6" s="68">
        <f>AJ6</f>
        <v>1.5998</v>
      </c>
      <c r="AI6" s="1">
        <v>0.0032</v>
      </c>
      <c r="AJ6" s="1">
        <v>1.5998</v>
      </c>
      <c r="AK6" s="118"/>
      <c r="AL6" s="102">
        <f>AG5</f>
        <v>5.0</v>
      </c>
      <c r="AM6" s="102">
        <f>AH5</f>
        <v>1.5</v>
      </c>
      <c r="AV6" s="103">
        <f>E9</f>
        <v>0.0545</v>
      </c>
      <c r="AW6" s="103">
        <f>F9</f>
        <v>1.8949</v>
      </c>
      <c r="AY6" s="103">
        <f>Y9</f>
        <v>5.0545</v>
      </c>
      <c r="AZ6" s="103">
        <f>Z9</f>
        <v>1.8949</v>
      </c>
    </row>
    <row r="7" spans="8:8" ht="15.0" customHeight="1">
      <c r="A7" s="115">
        <v>2.0</v>
      </c>
      <c r="B7" s="1">
        <v>4.0</v>
      </c>
      <c r="E7" s="107">
        <f>K7+(Q2*H7)</f>
        <v>0.0135</v>
      </c>
      <c r="F7" s="107">
        <f>L7+(Q2*I7)</f>
        <v>1.6993</v>
      </c>
      <c r="G7" s="102"/>
      <c r="H7" s="102">
        <v>-0.0099</v>
      </c>
      <c r="I7" s="102">
        <v>0.00137999999999998</v>
      </c>
      <c r="K7" s="1">
        <v>0.0135</v>
      </c>
      <c r="L7" s="1">
        <v>1.6993</v>
      </c>
      <c r="M7" s="102"/>
      <c r="N7" s="102"/>
      <c r="O7" s="102"/>
      <c r="W7" s="116">
        <v>2.0</v>
      </c>
      <c r="X7" s="1">
        <v>4.0</v>
      </c>
      <c r="Y7" s="104">
        <f>AA7+5</f>
        <v>5.0135</v>
      </c>
      <c r="Z7" s="104">
        <f>AB7</f>
        <v>1.6993</v>
      </c>
      <c r="AA7" s="1">
        <f>AI7+(AO2*AD7)</f>
        <v>0.0135</v>
      </c>
      <c r="AB7" s="1">
        <f>AJ7+(AO2*AE7)</f>
        <v>1.6993</v>
      </c>
      <c r="AD7" s="1">
        <v>-0.0099</v>
      </c>
      <c r="AE7" s="1">
        <v>0.00137999999999998</v>
      </c>
      <c r="AG7" s="68">
        <f>AI7+5</f>
        <v>5.0135</v>
      </c>
      <c r="AH7" s="68">
        <f>AJ7</f>
        <v>1.6993</v>
      </c>
      <c r="AI7" s="1">
        <v>0.0135</v>
      </c>
      <c r="AJ7" s="1">
        <v>1.6993</v>
      </c>
      <c r="AK7" s="102"/>
      <c r="AL7" s="102"/>
      <c r="AM7" s="102"/>
      <c r="AV7" s="103">
        <f>E10</f>
        <v>0.0851</v>
      </c>
      <c r="AW7" s="103">
        <f>F10</f>
        <v>1.9901</v>
      </c>
      <c r="AY7" s="103">
        <f>Y10</f>
        <v>5.0851</v>
      </c>
      <c r="AZ7" s="103">
        <f>Z10</f>
        <v>1.9901</v>
      </c>
    </row>
    <row r="8" spans="8:8" ht="15.0" customHeight="1">
      <c r="A8" s="115">
        <v>2.0</v>
      </c>
      <c r="B8" s="1">
        <v>5.0</v>
      </c>
      <c r="E8" s="107">
        <f>K8+(Q2*H8)</f>
        <v>0.0306</v>
      </c>
      <c r="F8" s="107">
        <f>L8+(Q2*I8)</f>
        <v>1.7978</v>
      </c>
      <c r="G8" s="102"/>
      <c r="H8" s="102">
        <v>-0.00978</v>
      </c>
      <c r="I8" s="102">
        <v>0.00206</v>
      </c>
      <c r="K8" s="1">
        <v>0.0306</v>
      </c>
      <c r="L8" s="1">
        <v>1.7978</v>
      </c>
      <c r="M8" s="106">
        <v>3.0</v>
      </c>
      <c r="N8" s="107">
        <f>E16</f>
        <v>0.3973</v>
      </c>
      <c r="O8" s="107">
        <f>F16</f>
        <v>2.4974</v>
      </c>
      <c r="W8" s="116">
        <v>2.0</v>
      </c>
      <c r="X8" s="1">
        <v>5.0</v>
      </c>
      <c r="Y8" s="104">
        <f>AA8+5</f>
        <v>5.0306</v>
      </c>
      <c r="Z8" s="104">
        <f>AB8</f>
        <v>1.7978</v>
      </c>
      <c r="AA8" s="1">
        <f>AI8+(AO2*AD8)</f>
        <v>0.0306</v>
      </c>
      <c r="AB8" s="1">
        <f>AJ8+(AO2*AE8)</f>
        <v>1.7978</v>
      </c>
      <c r="AD8" s="1">
        <v>-0.00978</v>
      </c>
      <c r="AE8" s="1">
        <v>0.00206</v>
      </c>
      <c r="AG8" s="68">
        <f>AI8+5</f>
        <v>5.0306</v>
      </c>
      <c r="AH8" s="68">
        <f>AJ8</f>
        <v>1.7978</v>
      </c>
      <c r="AI8" s="1">
        <v>0.0306</v>
      </c>
      <c r="AJ8" s="1">
        <v>1.7978</v>
      </c>
      <c r="AK8" s="106">
        <v>3.0</v>
      </c>
      <c r="AL8" s="107">
        <f>Y16</f>
        <v>5.3972999999999995</v>
      </c>
      <c r="AM8" s="107">
        <f>Z16</f>
        <v>2.4974</v>
      </c>
      <c r="AV8" s="103">
        <f>E11</f>
        <v>0.1221</v>
      </c>
      <c r="AW8" s="103">
        <f>F11</f>
        <v>2.0829</v>
      </c>
      <c r="AY8" s="103">
        <f>Y11</f>
        <v>5.1221</v>
      </c>
      <c r="AZ8" s="103">
        <f>Z11</f>
        <v>2.0829</v>
      </c>
    </row>
    <row r="9" spans="8:8" ht="15.0" customHeight="1">
      <c r="A9" s="115">
        <v>2.0</v>
      </c>
      <c r="B9" s="1">
        <v>6.0</v>
      </c>
      <c r="E9" s="107">
        <f>K9+(Q2*H9)</f>
        <v>0.0545</v>
      </c>
      <c r="F9" s="107">
        <f>L9+(Q2*I9)</f>
        <v>1.8949</v>
      </c>
      <c r="G9" s="102"/>
      <c r="H9" s="102">
        <v>-0.00962</v>
      </c>
      <c r="I9" s="102">
        <v>0.00272000000000001</v>
      </c>
      <c r="K9" s="1">
        <v>0.0545</v>
      </c>
      <c r="L9" s="1">
        <v>1.8949</v>
      </c>
      <c r="M9" s="106"/>
      <c r="N9" s="102">
        <f>K16</f>
        <v>0.3973</v>
      </c>
      <c r="O9" s="102">
        <f>L16</f>
        <v>2.4974</v>
      </c>
      <c r="W9" s="116">
        <v>2.0</v>
      </c>
      <c r="X9" s="1">
        <v>6.0</v>
      </c>
      <c r="Y9" s="104">
        <f>AA9+5</f>
        <v>5.0545</v>
      </c>
      <c r="Z9" s="104">
        <f>AB9</f>
        <v>1.8949</v>
      </c>
      <c r="AA9" s="1">
        <f>AI9+(AO2*AD9)</f>
        <v>0.0545</v>
      </c>
      <c r="AB9" s="1">
        <f>AJ9+(AO2*AE9)</f>
        <v>1.8949</v>
      </c>
      <c r="AD9" s="1">
        <v>-0.00962</v>
      </c>
      <c r="AE9" s="1">
        <v>0.00272000000000001</v>
      </c>
      <c r="AG9" s="68">
        <f>AI9+5</f>
        <v>5.0545</v>
      </c>
      <c r="AH9" s="68">
        <f>AJ9</f>
        <v>1.8949</v>
      </c>
      <c r="AI9" s="1">
        <v>0.0545</v>
      </c>
      <c r="AJ9" s="1">
        <v>1.8949</v>
      </c>
      <c r="AK9" s="106"/>
      <c r="AL9" s="102">
        <f>AG16</f>
        <v>5.3972999999999995</v>
      </c>
      <c r="AM9" s="102">
        <f>AH16</f>
        <v>2.4974</v>
      </c>
      <c r="AV9" s="103">
        <f>E12</f>
        <v>0.1654</v>
      </c>
      <c r="AW9" s="103">
        <f>F12</f>
        <v>2.173</v>
      </c>
      <c r="AY9" s="103">
        <f>Y12</f>
        <v>5.1654</v>
      </c>
      <c r="AZ9" s="103">
        <f>Z12</f>
        <v>2.173</v>
      </c>
    </row>
    <row r="10" spans="8:8" ht="15.0" customHeight="1">
      <c r="A10" s="119">
        <v>3.0</v>
      </c>
      <c r="B10" s="120">
        <v>7.0</v>
      </c>
      <c r="D10" s="120"/>
      <c r="E10" s="121">
        <f>K10+(R2*H10)</f>
        <v>0.0851</v>
      </c>
      <c r="F10" s="121">
        <f>L10+(R2*I10)</f>
        <v>1.9901</v>
      </c>
      <c r="G10" s="119"/>
      <c r="H10" s="119">
        <v>-0.00942</v>
      </c>
      <c r="I10" s="119">
        <v>0.00338000000000003</v>
      </c>
      <c r="J10" s="120"/>
      <c r="K10" s="120">
        <v>0.0851</v>
      </c>
      <c r="L10" s="120">
        <v>1.9901</v>
      </c>
      <c r="M10" s="115"/>
      <c r="N10" s="119"/>
      <c r="O10" s="119"/>
      <c r="P10" s="120"/>
      <c r="Q10" s="120"/>
      <c r="R10" s="120"/>
      <c r="S10" s="120"/>
      <c r="T10" s="120"/>
      <c r="U10" s="120"/>
      <c r="V10" s="120"/>
      <c r="W10" s="120">
        <v>3.0</v>
      </c>
      <c r="X10" s="120">
        <v>7.0</v>
      </c>
      <c r="Y10" s="104">
        <f>AA10+5</f>
        <v>5.0851</v>
      </c>
      <c r="Z10" s="104">
        <f>AB10</f>
        <v>1.9901</v>
      </c>
      <c r="AA10" s="120">
        <f>AI10+(AP2*AD10)</f>
        <v>0.0851</v>
      </c>
      <c r="AB10" s="120">
        <f>AJ10+(AP2*AE10)</f>
        <v>1.9901</v>
      </c>
      <c r="AC10" s="120"/>
      <c r="AD10" s="120">
        <v>-0.00942</v>
      </c>
      <c r="AE10" s="120">
        <v>0.00338000000000003</v>
      </c>
      <c r="AF10" s="120"/>
      <c r="AG10" s="68">
        <f>AI10+5</f>
        <v>5.0851</v>
      </c>
      <c r="AH10" s="68">
        <f>AJ10</f>
        <v>1.9901</v>
      </c>
      <c r="AI10" s="120">
        <v>0.0851</v>
      </c>
      <c r="AJ10" s="120">
        <v>1.9901</v>
      </c>
      <c r="AK10" s="115"/>
      <c r="AL10" s="119"/>
      <c r="AM10" s="119"/>
      <c r="AN10" s="120"/>
      <c r="AO10" s="120"/>
      <c r="AP10" s="120"/>
      <c r="AQ10" s="120"/>
      <c r="AR10" s="120"/>
      <c r="AS10" s="120"/>
      <c r="AT10" s="120"/>
      <c r="AV10" s="103">
        <f>E13</f>
        <v>0.2149</v>
      </c>
      <c r="AW10" s="103">
        <f>F13</f>
        <v>2.26</v>
      </c>
      <c r="AY10" s="103">
        <f>Y13</f>
        <v>5.2149</v>
      </c>
      <c r="AZ10" s="103">
        <f>Z13</f>
        <v>2.26</v>
      </c>
    </row>
    <row r="11" spans="8:8" ht="15.0" customHeight="1">
      <c r="A11" s="119">
        <v>3.0</v>
      </c>
      <c r="B11" s="1">
        <v>8.0</v>
      </c>
      <c r="D11" s="120"/>
      <c r="E11" s="107">
        <f>K11+(R2*H11)</f>
        <v>0.1221</v>
      </c>
      <c r="F11" s="107">
        <f>L11+(R2*I11)</f>
        <v>2.0829</v>
      </c>
      <c r="G11" s="102"/>
      <c r="H11" s="102">
        <v>-0.00916</v>
      </c>
      <c r="I11" s="102">
        <v>0.00404</v>
      </c>
      <c r="K11" s="1">
        <v>0.1221</v>
      </c>
      <c r="L11" s="1">
        <v>2.0829</v>
      </c>
      <c r="M11" s="118">
        <v>4.0</v>
      </c>
      <c r="N11" s="107">
        <f>E28</f>
        <v>1.4721</v>
      </c>
      <c r="O11" s="107">
        <f>F28</f>
        <v>2.9498</v>
      </c>
      <c r="W11" s="120">
        <v>3.0</v>
      </c>
      <c r="X11" s="1">
        <v>8.0</v>
      </c>
      <c r="Y11" s="104">
        <f>AA11+5</f>
        <v>5.1221</v>
      </c>
      <c r="Z11" s="104">
        <f>AB11</f>
        <v>2.0829</v>
      </c>
      <c r="AA11" s="1">
        <f>AI11+(AP2*AD11)</f>
        <v>0.1221</v>
      </c>
      <c r="AB11" s="1">
        <f>AJ11+(AP2*AE11)</f>
        <v>2.0829</v>
      </c>
      <c r="AD11" s="1">
        <v>-0.00916</v>
      </c>
      <c r="AE11" s="1">
        <v>0.00404</v>
      </c>
      <c r="AG11" s="68">
        <f>AI11+5</f>
        <v>5.1221</v>
      </c>
      <c r="AH11" s="68">
        <f>AJ11</f>
        <v>2.0829</v>
      </c>
      <c r="AI11" s="1">
        <v>0.1221</v>
      </c>
      <c r="AJ11" s="1">
        <v>2.0829</v>
      </c>
      <c r="AK11" s="118">
        <v>4.0</v>
      </c>
      <c r="AL11" s="107">
        <f>Y28</f>
        <v>6.4721</v>
      </c>
      <c r="AM11" s="107">
        <f>Z28</f>
        <v>2.9498</v>
      </c>
      <c r="AV11" s="103">
        <f>E14</f>
        <v>0.2702</v>
      </c>
      <c r="AW11" s="103">
        <f>F14</f>
        <v>2.3432</v>
      </c>
      <c r="AY11" s="103">
        <f>Y14</f>
        <v>5.2702</v>
      </c>
      <c r="AZ11" s="103">
        <f>Z14</f>
        <v>2.3432</v>
      </c>
    </row>
    <row r="12" spans="8:8" ht="15.0" customHeight="1">
      <c r="A12" s="119">
        <v>3.0</v>
      </c>
      <c r="B12" s="1">
        <v>9.0</v>
      </c>
      <c r="E12" s="107">
        <f>K12+(R2*H12)</f>
        <v>0.1654</v>
      </c>
      <c r="F12" s="107">
        <f>L12+(R2*I12)</f>
        <v>2.173</v>
      </c>
      <c r="G12" s="102"/>
      <c r="H12" s="102">
        <v>-0.00886</v>
      </c>
      <c r="I12" s="102">
        <v>0.00465999999999998</v>
      </c>
      <c r="K12" s="1">
        <v>0.1654</v>
      </c>
      <c r="L12" s="1">
        <v>2.173</v>
      </c>
      <c r="M12" s="118"/>
      <c r="N12" s="102">
        <f>K28</f>
        <v>1.4721</v>
      </c>
      <c r="O12" s="102">
        <f>L28</f>
        <v>2.9498</v>
      </c>
      <c r="W12" s="120">
        <v>3.0</v>
      </c>
      <c r="X12" s="1">
        <v>9.0</v>
      </c>
      <c r="Y12" s="104">
        <f>AA12+5</f>
        <v>5.1654</v>
      </c>
      <c r="Z12" s="104">
        <f>AB12</f>
        <v>2.173</v>
      </c>
      <c r="AA12" s="1">
        <f>AI12+(AP2*AD12)</f>
        <v>0.1654</v>
      </c>
      <c r="AB12" s="1">
        <f>AJ12+(AP2*AE12)</f>
        <v>2.173</v>
      </c>
      <c r="AD12" s="1">
        <v>-0.00886</v>
      </c>
      <c r="AE12" s="1">
        <v>0.00465999999999998</v>
      </c>
      <c r="AG12" s="68">
        <f>AI12+5</f>
        <v>5.1654</v>
      </c>
      <c r="AH12" s="68">
        <f>AJ12</f>
        <v>2.173</v>
      </c>
      <c r="AI12" s="1">
        <v>0.1654</v>
      </c>
      <c r="AJ12" s="1">
        <v>2.173</v>
      </c>
      <c r="AK12" s="118"/>
      <c r="AL12" s="102">
        <f>AG28</f>
        <v>6.4721</v>
      </c>
      <c r="AM12" s="102">
        <f>AH28</f>
        <v>2.9498</v>
      </c>
      <c r="AV12" s="103">
        <f>E15</f>
        <v>0.3311</v>
      </c>
      <c r="AW12" s="103">
        <f>F15</f>
        <v>2.4225</v>
      </c>
      <c r="AY12" s="103">
        <f>Y15</f>
        <v>5.3311</v>
      </c>
      <c r="AZ12" s="103">
        <f>Z15</f>
        <v>2.4225</v>
      </c>
    </row>
    <row r="13" spans="8:8" ht="15.0" customHeight="1">
      <c r="A13" s="119">
        <v>3.0</v>
      </c>
      <c r="B13" s="1">
        <v>10.0</v>
      </c>
      <c r="E13" s="107">
        <f>K13+(R2*H13)</f>
        <v>0.2149</v>
      </c>
      <c r="F13" s="107">
        <f>L13+(R2*I13)</f>
        <v>2.26</v>
      </c>
      <c r="G13" s="102"/>
      <c r="H13" s="102">
        <v>-0.00852</v>
      </c>
      <c r="I13" s="102">
        <v>0.00524000000000005</v>
      </c>
      <c r="K13" s="1">
        <v>0.2149</v>
      </c>
      <c r="L13" s="1">
        <v>2.26</v>
      </c>
      <c r="M13" s="102"/>
      <c r="N13" s="102"/>
      <c r="O13" s="102"/>
      <c r="W13" s="120">
        <v>3.0</v>
      </c>
      <c r="X13" s="1">
        <v>10.0</v>
      </c>
      <c r="Y13" s="104">
        <f>AA13+5</f>
        <v>5.2149</v>
      </c>
      <c r="Z13" s="104">
        <f>AB13</f>
        <v>2.26</v>
      </c>
      <c r="AA13" s="1">
        <f>AI13+(AP2*AD13)</f>
        <v>0.2149</v>
      </c>
      <c r="AB13" s="1">
        <f>AJ13+(AP2*AE13)</f>
        <v>2.26</v>
      </c>
      <c r="AD13" s="1">
        <v>-0.00852</v>
      </c>
      <c r="AE13" s="1">
        <v>0.00524000000000005</v>
      </c>
      <c r="AG13" s="68">
        <f>AI13+5</f>
        <v>5.2149</v>
      </c>
      <c r="AH13" s="68">
        <f>AJ13</f>
        <v>2.26</v>
      </c>
      <c r="AI13" s="1">
        <v>0.2149</v>
      </c>
      <c r="AJ13" s="1">
        <v>2.26</v>
      </c>
      <c r="AK13" s="102"/>
      <c r="AL13" s="102"/>
      <c r="AM13" s="102"/>
      <c r="AV13" s="103">
        <f>E16</f>
        <v>0.3973</v>
      </c>
      <c r="AW13" s="103">
        <f>F16</f>
        <v>2.4974</v>
      </c>
      <c r="AY13" s="103">
        <f>Y16</f>
        <v>5.3972999999999995</v>
      </c>
      <c r="AZ13" s="103">
        <f>Z16</f>
        <v>2.4974</v>
      </c>
    </row>
    <row r="14" spans="8:8" ht="15.0" customHeight="1">
      <c r="A14" s="119">
        <v>3.0</v>
      </c>
      <c r="B14" s="1">
        <v>11.0</v>
      </c>
      <c r="E14" s="107">
        <f>K14+(R2*H14)</f>
        <v>0.2702</v>
      </c>
      <c r="F14" s="107">
        <f>L14+(S2*I14)</f>
        <v>2.3432</v>
      </c>
      <c r="G14" s="102"/>
      <c r="H14" s="102">
        <v>-0.00814</v>
      </c>
      <c r="I14" s="102">
        <v>0.00582000000000003</v>
      </c>
      <c r="K14" s="1">
        <v>0.2702</v>
      </c>
      <c r="L14" s="1">
        <v>2.3432</v>
      </c>
      <c r="M14" s="106">
        <v>5.0</v>
      </c>
      <c r="N14" s="107">
        <f>E39</f>
        <v>2.4633</v>
      </c>
      <c r="O14" s="107">
        <f>F39</f>
        <v>2.5368</v>
      </c>
      <c r="W14" s="120">
        <v>3.0</v>
      </c>
      <c r="X14" s="1">
        <v>11.0</v>
      </c>
      <c r="Y14" s="104">
        <f>AA14+5</f>
        <v>5.2702</v>
      </c>
      <c r="Z14" s="104">
        <f>AB14</f>
        <v>2.3432</v>
      </c>
      <c r="AA14" s="1">
        <f>AI14+(AP2*AD14)</f>
        <v>0.2702</v>
      </c>
      <c r="AB14" s="1">
        <f>AJ14+(AQ2*AE14)</f>
        <v>2.3432</v>
      </c>
      <c r="AD14" s="1">
        <v>-0.00814</v>
      </c>
      <c r="AE14" s="1">
        <v>0.00582000000000003</v>
      </c>
      <c r="AG14" s="68">
        <f>AI14+5</f>
        <v>5.2702</v>
      </c>
      <c r="AH14" s="68">
        <f>AJ14</f>
        <v>2.3432</v>
      </c>
      <c r="AI14" s="1">
        <v>0.2702</v>
      </c>
      <c r="AJ14" s="1">
        <v>2.3432</v>
      </c>
      <c r="AK14" s="106">
        <v>5.0</v>
      </c>
      <c r="AL14" s="107">
        <f>Y39</f>
        <v>7.4633</v>
      </c>
      <c r="AM14" s="107">
        <f>Z39</f>
        <v>2.5368</v>
      </c>
      <c r="AV14" s="103">
        <f>E17</f>
        <v>0.4686</v>
      </c>
      <c r="AW14" s="103">
        <f>F17</f>
        <v>2.5676</v>
      </c>
      <c r="AY14" s="103">
        <f>Y17</f>
        <v>5.4686</v>
      </c>
      <c r="AZ14" s="103">
        <f>Z17</f>
        <v>2.5676</v>
      </c>
    </row>
    <row r="15" spans="8:8" ht="15.0" customHeight="1">
      <c r="A15" s="119">
        <v>3.0</v>
      </c>
      <c r="B15" s="1">
        <v>12.0</v>
      </c>
      <c r="E15" s="107">
        <f>K15+(R2*H15)</f>
        <v>0.3311</v>
      </c>
      <c r="F15" s="107">
        <f>L15+(R2*I15)</f>
        <v>2.4225</v>
      </c>
      <c r="G15" s="102"/>
      <c r="H15" s="102">
        <v>-0.00772000000000001</v>
      </c>
      <c r="I15" s="102">
        <v>0.00636000000000001</v>
      </c>
      <c r="K15" s="1">
        <v>0.3311</v>
      </c>
      <c r="L15" s="1">
        <v>2.4225</v>
      </c>
      <c r="M15" s="106"/>
      <c r="N15" s="102">
        <f>K39</f>
        <v>2.4633</v>
      </c>
      <c r="O15" s="102">
        <f>L39</f>
        <v>2.5368</v>
      </c>
      <c r="W15" s="120">
        <v>3.0</v>
      </c>
      <c r="X15" s="1">
        <v>12.0</v>
      </c>
      <c r="Y15" s="104">
        <f>AA15+5</f>
        <v>5.3311</v>
      </c>
      <c r="Z15" s="104">
        <f>AB15</f>
        <v>2.4225</v>
      </c>
      <c r="AA15" s="1">
        <f>AI15+(AP2*AD15)</f>
        <v>0.3311</v>
      </c>
      <c r="AB15" s="1">
        <f>AJ15+(AP2*AE15)</f>
        <v>2.4225</v>
      </c>
      <c r="AD15" s="1">
        <v>-0.00772000000000001</v>
      </c>
      <c r="AE15" s="1">
        <v>0.00636000000000001</v>
      </c>
      <c r="AG15" s="68">
        <f>AI15+5</f>
        <v>5.3311</v>
      </c>
      <c r="AH15" s="68">
        <f>AJ15</f>
        <v>2.4225</v>
      </c>
      <c r="AI15" s="1">
        <v>0.3311</v>
      </c>
      <c r="AJ15" s="1">
        <v>2.4225</v>
      </c>
      <c r="AK15" s="106"/>
      <c r="AL15" s="102">
        <f>AG39</f>
        <v>7.4633</v>
      </c>
      <c r="AM15" s="102">
        <f>AH39</f>
        <v>2.5368</v>
      </c>
      <c r="AV15" s="103">
        <f>E18</f>
        <v>0.5445</v>
      </c>
      <c r="AW15" s="103">
        <f>F18</f>
        <v>2.6326</v>
      </c>
      <c r="AY15" s="103">
        <f>Y18</f>
        <v>5.5445</v>
      </c>
      <c r="AZ15" s="103">
        <f>Z18</f>
        <v>2.6326</v>
      </c>
    </row>
    <row r="16" spans="8:8" ht="15.0" customHeight="1">
      <c r="A16" s="115">
        <v>3.0</v>
      </c>
      <c r="B16" s="116">
        <v>13.0</v>
      </c>
      <c r="C16" s="116"/>
      <c r="D16" s="116"/>
      <c r="E16" s="117">
        <f>K16+(R2*H16)</f>
        <v>0.3973</v>
      </c>
      <c r="F16" s="117">
        <f>L16+(R2*I16)</f>
        <v>2.4974</v>
      </c>
      <c r="G16" s="115"/>
      <c r="H16" s="115">
        <v>-0.00726</v>
      </c>
      <c r="I16" s="115">
        <v>0.00688000000000004</v>
      </c>
      <c r="J16" s="116"/>
      <c r="K16" s="116">
        <v>0.3973</v>
      </c>
      <c r="L16" s="116">
        <v>2.4974</v>
      </c>
      <c r="M16" s="115"/>
      <c r="N16" s="102"/>
      <c r="O16" s="102"/>
      <c r="P16" s="116"/>
      <c r="Q16" s="116"/>
      <c r="R16" s="116"/>
      <c r="S16" s="116"/>
      <c r="T16" s="116"/>
      <c r="U16" s="116"/>
      <c r="V16" s="116"/>
      <c r="W16" s="116">
        <v>3.0</v>
      </c>
      <c r="X16" s="116">
        <v>13.0</v>
      </c>
      <c r="Y16" s="104">
        <f>AA16+5</f>
        <v>5.3972999999999995</v>
      </c>
      <c r="Z16" s="104">
        <f>AB16</f>
        <v>2.4974</v>
      </c>
      <c r="AA16" s="116">
        <f>AI16+(AP2*AD16)</f>
        <v>0.3973</v>
      </c>
      <c r="AB16" s="116">
        <f>AJ16+(AP2*AE16)</f>
        <v>2.4974</v>
      </c>
      <c r="AC16" s="116"/>
      <c r="AD16" s="116">
        <v>-0.00726</v>
      </c>
      <c r="AE16" s="116">
        <v>0.00688000000000004</v>
      </c>
      <c r="AF16" s="116"/>
      <c r="AG16" s="68">
        <f>AI16+5</f>
        <v>5.3972999999999995</v>
      </c>
      <c r="AH16" s="68">
        <f>AJ16</f>
        <v>2.4974</v>
      </c>
      <c r="AI16" s="116">
        <v>0.3973</v>
      </c>
      <c r="AJ16" s="116">
        <v>2.4974</v>
      </c>
      <c r="AK16" s="115"/>
      <c r="AL16" s="102"/>
      <c r="AM16" s="102"/>
      <c r="AN16" s="116"/>
      <c r="AO16" s="116"/>
      <c r="AP16" s="116"/>
      <c r="AQ16" s="116"/>
      <c r="AR16" s="116"/>
      <c r="AS16" s="116"/>
      <c r="AT16" s="116"/>
      <c r="AV16" s="103">
        <f>E19</f>
        <v>0.6247</v>
      </c>
      <c r="AW16" s="103">
        <f>F19</f>
        <v>2.6923</v>
      </c>
      <c r="AY16" s="103">
        <f>Y19</f>
        <v>5.6247</v>
      </c>
      <c r="AZ16" s="103">
        <f>Z19</f>
        <v>2.6923</v>
      </c>
    </row>
    <row r="17" spans="8:8" ht="15.0" customHeight="1">
      <c r="A17" s="115">
        <v>3.0</v>
      </c>
      <c r="B17" s="1">
        <v>14.0</v>
      </c>
      <c r="E17" s="107">
        <f>K17+(R2*H17)</f>
        <v>0.4686</v>
      </c>
      <c r="F17" s="107">
        <f>L17+(R2*I17)</f>
        <v>2.5676</v>
      </c>
      <c r="G17" s="102"/>
      <c r="H17" s="102">
        <v>-0.00678000000000001</v>
      </c>
      <c r="I17" s="102">
        <v>0.00735999999999999</v>
      </c>
      <c r="K17" s="1">
        <v>0.4686</v>
      </c>
      <c r="L17" s="1">
        <v>2.5676</v>
      </c>
      <c r="M17" s="118">
        <v>6.0</v>
      </c>
      <c r="N17" s="117">
        <f>E51</f>
        <v>2.9</v>
      </c>
      <c r="O17" s="117">
        <f>F51</f>
        <v>1.5</v>
      </c>
      <c r="W17" s="116">
        <v>3.0</v>
      </c>
      <c r="X17" s="1">
        <v>14.0</v>
      </c>
      <c r="Y17" s="104">
        <f>AA17+5</f>
        <v>5.4686</v>
      </c>
      <c r="Z17" s="104">
        <f>AB17</f>
        <v>2.5676</v>
      </c>
      <c r="AA17" s="1">
        <f>AI17+(AP2*AD17)</f>
        <v>0.4686</v>
      </c>
      <c r="AB17" s="1">
        <f>AJ17+(AP2*AE17)</f>
        <v>2.5676</v>
      </c>
      <c r="AD17" s="1">
        <v>-0.00678000000000001</v>
      </c>
      <c r="AE17" s="1">
        <v>0.00735999999999999</v>
      </c>
      <c r="AG17" s="68">
        <f>AI17+5</f>
        <v>5.4686</v>
      </c>
      <c r="AH17" s="68">
        <f>AJ17</f>
        <v>2.5676</v>
      </c>
      <c r="AI17" s="1">
        <v>0.4686</v>
      </c>
      <c r="AJ17" s="1">
        <v>2.5676</v>
      </c>
      <c r="AK17" s="118">
        <v>6.0</v>
      </c>
      <c r="AL17" s="117">
        <f>Y51</f>
        <v>7.9</v>
      </c>
      <c r="AM17" s="117">
        <f>Z51</f>
        <v>1.5</v>
      </c>
      <c r="AV17" s="103">
        <f>E20</f>
        <v>0.7088</v>
      </c>
      <c r="AW17" s="103">
        <f>F20</f>
        <v>2.7463</v>
      </c>
      <c r="AY17" s="103">
        <f>Y20</f>
        <v>5.7088</v>
      </c>
      <c r="AZ17" s="103">
        <f>Z20</f>
        <v>2.7463</v>
      </c>
    </row>
    <row r="18" spans="8:8" ht="15.0" customHeight="1">
      <c r="A18" s="115">
        <v>3.0</v>
      </c>
      <c r="B18" s="1">
        <v>15.0</v>
      </c>
      <c r="E18" s="107">
        <f>K18+(R2*H18)</f>
        <v>0.5445</v>
      </c>
      <c r="F18" s="107">
        <f>L18+(R2*I18)</f>
        <v>2.6326</v>
      </c>
      <c r="G18" s="102"/>
      <c r="H18" s="102">
        <v>-0.00624</v>
      </c>
      <c r="I18" s="102">
        <v>0.00781999999999998</v>
      </c>
      <c r="K18" s="1">
        <v>0.5445</v>
      </c>
      <c r="L18" s="1">
        <v>2.6326</v>
      </c>
      <c r="M18" s="118"/>
      <c r="N18" s="102">
        <f>K51</f>
        <v>2.9</v>
      </c>
      <c r="O18" s="102">
        <f>L51</f>
        <v>1.5</v>
      </c>
      <c r="W18" s="116">
        <v>3.0</v>
      </c>
      <c r="X18" s="1">
        <v>15.0</v>
      </c>
      <c r="Y18" s="104">
        <f>AA18+5</f>
        <v>5.5445</v>
      </c>
      <c r="Z18" s="104">
        <f>AB18</f>
        <v>2.6326</v>
      </c>
      <c r="AA18" s="1">
        <f>AI18+(AP2*AD18)</f>
        <v>0.5445</v>
      </c>
      <c r="AB18" s="1">
        <f>AJ18+(AP2*AE18)</f>
        <v>2.6326</v>
      </c>
      <c r="AD18" s="1">
        <v>-0.00624</v>
      </c>
      <c r="AE18" s="1">
        <v>0.00781999999999998</v>
      </c>
      <c r="AG18" s="68">
        <f>AI18+5</f>
        <v>5.5445</v>
      </c>
      <c r="AH18" s="68">
        <f>AJ18</f>
        <v>2.6326</v>
      </c>
      <c r="AI18" s="1">
        <v>0.5445</v>
      </c>
      <c r="AJ18" s="1">
        <v>2.6326</v>
      </c>
      <c r="AK18" s="118"/>
      <c r="AL18" s="102">
        <f>AG51</f>
        <v>7.9</v>
      </c>
      <c r="AM18" s="102">
        <f>AH51</f>
        <v>1.5</v>
      </c>
      <c r="AV18" s="103">
        <f>E21</f>
        <v>0.7965</v>
      </c>
      <c r="AW18" s="103">
        <f>F21</f>
        <v>2.7944</v>
      </c>
      <c r="AY18" s="103">
        <f>Y21</f>
        <v>5.7965</v>
      </c>
      <c r="AZ18" s="103">
        <f>Z21</f>
        <v>2.7944</v>
      </c>
    </row>
    <row r="19" spans="8:8" ht="15.0" customHeight="1">
      <c r="A19" s="115">
        <v>3.0</v>
      </c>
      <c r="B19" s="1">
        <v>16.0</v>
      </c>
      <c r="E19" s="107">
        <f>K19+(R2*H19)</f>
        <v>0.6247</v>
      </c>
      <c r="F19" s="107">
        <f>L19+(R2*I19)</f>
        <v>2.6923</v>
      </c>
      <c r="G19" s="102"/>
      <c r="H19" s="102">
        <v>-0.00570000000000002</v>
      </c>
      <c r="I19" s="102">
        <v>0.00822000000000003</v>
      </c>
      <c r="K19" s="1">
        <v>0.6247</v>
      </c>
      <c r="L19" s="1">
        <v>2.6923</v>
      </c>
      <c r="M19" s="102"/>
      <c r="N19" s="102"/>
      <c r="O19" s="102"/>
      <c r="W19" s="116">
        <v>3.0</v>
      </c>
      <c r="X19" s="1">
        <v>16.0</v>
      </c>
      <c r="Y19" s="104">
        <f>AA19+5</f>
        <v>5.6247</v>
      </c>
      <c r="Z19" s="104">
        <f>AB19</f>
        <v>2.6923</v>
      </c>
      <c r="AA19" s="1">
        <f>AI19+(AP2*AD19)</f>
        <v>0.6247</v>
      </c>
      <c r="AB19" s="1">
        <f>AJ19+(AP2*AE19)</f>
        <v>2.6923</v>
      </c>
      <c r="AD19" s="1">
        <v>-0.00570000000000002</v>
      </c>
      <c r="AE19" s="1">
        <v>0.00822000000000003</v>
      </c>
      <c r="AG19" s="68">
        <f>AI19+5</f>
        <v>5.6247</v>
      </c>
      <c r="AH19" s="68">
        <f>AJ19</f>
        <v>2.6923</v>
      </c>
      <c r="AI19" s="1">
        <v>0.6247</v>
      </c>
      <c r="AJ19" s="1">
        <v>2.6923</v>
      </c>
      <c r="AK19" s="102"/>
      <c r="AL19" s="102"/>
      <c r="AM19" s="102"/>
      <c r="AV19" s="103">
        <f>E22</f>
        <v>0.8872</v>
      </c>
      <c r="AW19" s="103">
        <f>F22</f>
        <v>2.8364</v>
      </c>
      <c r="AY19" s="103">
        <f>Y22</f>
        <v>5.8872</v>
      </c>
      <c r="AZ19" s="103">
        <f>Z22</f>
        <v>2.8364</v>
      </c>
    </row>
    <row r="20" spans="8:8" ht="15.0" customHeight="1">
      <c r="A20" s="115">
        <v>3.0</v>
      </c>
      <c r="B20" s="1">
        <v>17.0</v>
      </c>
      <c r="E20" s="107">
        <f>K20+(R2*H20)</f>
        <v>0.7088</v>
      </c>
      <c r="F20" s="107">
        <f>L20+(R2*I20)</f>
        <v>2.7463</v>
      </c>
      <c r="G20" s="102"/>
      <c r="H20" s="102">
        <v>-0.00509999999999999</v>
      </c>
      <c r="I20" s="102">
        <v>0.00859999999999994</v>
      </c>
      <c r="K20" s="1">
        <v>0.7088</v>
      </c>
      <c r="L20" s="1">
        <v>2.7463</v>
      </c>
      <c r="M20" s="106">
        <v>7.0</v>
      </c>
      <c r="N20" s="107">
        <f>E52</f>
        <v>2.9</v>
      </c>
      <c r="O20" s="107">
        <f>F52</f>
        <v>0.0</v>
      </c>
      <c r="W20" s="116">
        <v>3.0</v>
      </c>
      <c r="X20" s="1">
        <v>17.0</v>
      </c>
      <c r="Y20" s="104">
        <f>AA20+5</f>
        <v>5.7088</v>
      </c>
      <c r="Z20" s="104">
        <f>AB20</f>
        <v>2.7463</v>
      </c>
      <c r="AA20" s="1">
        <f>AI20+(AP2*AD20)</f>
        <v>0.7088</v>
      </c>
      <c r="AB20" s="1">
        <f>AJ20+(AP2*AE20)</f>
        <v>2.7463</v>
      </c>
      <c r="AD20" s="1">
        <v>-0.00509999999999999</v>
      </c>
      <c r="AE20" s="1">
        <v>0.00859999999999994</v>
      </c>
      <c r="AG20" s="68">
        <f>AI20+5</f>
        <v>5.7088</v>
      </c>
      <c r="AH20" s="68">
        <f>AJ20</f>
        <v>2.7463</v>
      </c>
      <c r="AI20" s="1">
        <v>0.7088</v>
      </c>
      <c r="AJ20" s="1">
        <v>2.7463</v>
      </c>
      <c r="AK20" s="106">
        <v>7.0</v>
      </c>
      <c r="AL20" s="107">
        <f>Y52</f>
        <v>7.9</v>
      </c>
      <c r="AM20" s="107">
        <f>Z52</f>
        <v>0.0</v>
      </c>
      <c r="AV20" s="103">
        <f>E23</f>
        <v>0.9807</v>
      </c>
      <c r="AW20" s="103">
        <f>F23</f>
        <v>2.872</v>
      </c>
      <c r="AY20" s="103">
        <f>Y23</f>
        <v>5.9807</v>
      </c>
      <c r="AZ20" s="103">
        <f>Z23</f>
        <v>2.872</v>
      </c>
    </row>
    <row r="21" spans="8:8" ht="15.0" customHeight="1">
      <c r="A21" s="115">
        <v>3.0</v>
      </c>
      <c r="B21" s="1">
        <v>18.0</v>
      </c>
      <c r="E21" s="107">
        <f>K21+(R2*H21)</f>
        <v>0.7965</v>
      </c>
      <c r="F21" s="107">
        <f>L21+(R2*I21)</f>
        <v>2.7944</v>
      </c>
      <c r="G21" s="102"/>
      <c r="H21" s="102">
        <v>-0.00451999999999999</v>
      </c>
      <c r="I21" s="102">
        <v>0.00894000000000004</v>
      </c>
      <c r="K21" s="1">
        <v>0.7965</v>
      </c>
      <c r="L21" s="1">
        <v>2.7944</v>
      </c>
      <c r="M21" s="106"/>
      <c r="N21" s="102">
        <f>K52</f>
        <v>2.9</v>
      </c>
      <c r="O21" s="102">
        <f>L52</f>
        <v>0.0</v>
      </c>
      <c r="W21" s="116">
        <v>3.0</v>
      </c>
      <c r="X21" s="1">
        <v>18.0</v>
      </c>
      <c r="Y21" s="104">
        <f>AA21+5</f>
        <v>5.7965</v>
      </c>
      <c r="Z21" s="104">
        <f>AB21</f>
        <v>2.7944</v>
      </c>
      <c r="AA21" s="1">
        <f>AI21+(AP2*AD21)</f>
        <v>0.7965</v>
      </c>
      <c r="AB21" s="1">
        <f>AJ21+(AP2*AE21)</f>
        <v>2.7944</v>
      </c>
      <c r="AD21" s="1">
        <v>-0.00451999999999999</v>
      </c>
      <c r="AE21" s="1">
        <v>0.00894000000000004</v>
      </c>
      <c r="AG21" s="68">
        <f>AI21+5</f>
        <v>5.7965</v>
      </c>
      <c r="AH21" s="68">
        <f>AJ21</f>
        <v>2.7944</v>
      </c>
      <c r="AI21" s="1">
        <v>0.7965</v>
      </c>
      <c r="AJ21" s="1">
        <v>2.7944</v>
      </c>
      <c r="AK21" s="106"/>
      <c r="AL21" s="102">
        <f>AG52</f>
        <v>7.9</v>
      </c>
      <c r="AM21" s="102">
        <f>AH52</f>
        <v>0.0</v>
      </c>
      <c r="AV21" s="103">
        <f>E24</f>
        <v>1.0763</v>
      </c>
      <c r="AW21" s="103">
        <f>F24</f>
        <v>2.901</v>
      </c>
      <c r="AY21" s="103">
        <f>Y24</f>
        <v>6.0763</v>
      </c>
      <c r="AZ21" s="103">
        <f>Z24</f>
        <v>2.901</v>
      </c>
    </row>
    <row r="22" spans="8:8" ht="15.0" customHeight="1">
      <c r="A22" s="119">
        <v>4.0</v>
      </c>
      <c r="B22" s="120">
        <v>19.0</v>
      </c>
      <c r="C22" s="120"/>
      <c r="D22" s="120"/>
      <c r="E22" s="121">
        <f>K22+(S2*H22)</f>
        <v>0.8872</v>
      </c>
      <c r="F22" s="121">
        <f>L22+(S2*I22)</f>
        <v>2.8364</v>
      </c>
      <c r="G22" s="119"/>
      <c r="H22" s="119">
        <v>-0.00387999999999999</v>
      </c>
      <c r="I22" s="119">
        <v>0.00922000000000001</v>
      </c>
      <c r="J22" s="120"/>
      <c r="K22" s="120">
        <v>0.8872</v>
      </c>
      <c r="L22" s="120">
        <v>2.8364</v>
      </c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>
        <v>4.0</v>
      </c>
      <c r="X22" s="120">
        <v>19.0</v>
      </c>
      <c r="Y22" s="104">
        <f>AA22+5</f>
        <v>5.8872</v>
      </c>
      <c r="Z22" s="104">
        <f>AB22</f>
        <v>2.8364</v>
      </c>
      <c r="AA22" s="120">
        <f>AI22+(AQ2*AD22)</f>
        <v>0.8872</v>
      </c>
      <c r="AB22" s="120">
        <f>AJ22+(AQ2*AE22)</f>
        <v>2.8364</v>
      </c>
      <c r="AC22" s="120"/>
      <c r="AD22" s="120">
        <v>-0.00387999999999999</v>
      </c>
      <c r="AE22" s="120">
        <v>0.00922000000000001</v>
      </c>
      <c r="AF22" s="120"/>
      <c r="AG22" s="68">
        <f>AI22+5</f>
        <v>5.8872</v>
      </c>
      <c r="AH22" s="68">
        <f>AJ22</f>
        <v>2.8364</v>
      </c>
      <c r="AI22" s="120">
        <v>0.8872</v>
      </c>
      <c r="AJ22" s="120">
        <v>2.8364</v>
      </c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V22" s="103">
        <f>E25</f>
        <v>1.1738</v>
      </c>
      <c r="AW22" s="103">
        <f>F25</f>
        <v>2.9234</v>
      </c>
      <c r="AY22" s="103">
        <f>Y25</f>
        <v>6.1738</v>
      </c>
      <c r="AZ22" s="103">
        <f>Z25</f>
        <v>2.9234</v>
      </c>
    </row>
    <row r="23" spans="8:8" ht="15.0" customHeight="1">
      <c r="A23" s="119">
        <v>4.0</v>
      </c>
      <c r="B23" s="1">
        <v>20.0</v>
      </c>
      <c r="E23" s="107">
        <f>K23+(R2*H23)</f>
        <v>0.9807</v>
      </c>
      <c r="F23" s="107">
        <f>L23+(S2*I23)</f>
        <v>2.872</v>
      </c>
      <c r="G23" s="102"/>
      <c r="H23" s="102">
        <v>-0.00324</v>
      </c>
      <c r="I23" s="102">
        <v>0.00945999999999998</v>
      </c>
      <c r="K23" s="1">
        <v>0.9807</v>
      </c>
      <c r="L23" s="1">
        <v>2.872</v>
      </c>
      <c r="W23" s="120">
        <v>4.0</v>
      </c>
      <c r="X23" s="1">
        <v>20.0</v>
      </c>
      <c r="Y23" s="104">
        <f>AA23+5</f>
        <v>5.9807</v>
      </c>
      <c r="Z23" s="104">
        <f>AB23</f>
        <v>2.872</v>
      </c>
      <c r="AA23" s="1">
        <f>AI23+(AP2*AD23)</f>
        <v>0.9807</v>
      </c>
      <c r="AB23" s="1">
        <f>AJ23+(AQ2*AE23)</f>
        <v>2.872</v>
      </c>
      <c r="AD23" s="1">
        <v>-0.00324</v>
      </c>
      <c r="AE23" s="1">
        <v>0.00945999999999998</v>
      </c>
      <c r="AG23" s="68">
        <f>AI23+5</f>
        <v>5.9807</v>
      </c>
      <c r="AH23" s="68">
        <f>AJ23</f>
        <v>2.872</v>
      </c>
      <c r="AI23" s="1">
        <v>0.9807</v>
      </c>
      <c r="AJ23" s="1">
        <v>2.872</v>
      </c>
      <c r="AV23" s="103">
        <f>E26</f>
        <v>1.2725</v>
      </c>
      <c r="AW23" s="103">
        <f>F26</f>
        <v>2.9391</v>
      </c>
      <c r="AY23" s="103">
        <f>Y26</f>
        <v>6.2725</v>
      </c>
      <c r="AZ23" s="103">
        <f>Z26</f>
        <v>2.9391</v>
      </c>
    </row>
    <row r="24" spans="8:8" ht="15.0" customHeight="1">
      <c r="A24" s="119">
        <v>4.0</v>
      </c>
      <c r="B24" s="1">
        <v>21.0</v>
      </c>
      <c r="E24" s="107">
        <f>K24+(S2*H24)</f>
        <v>1.0763</v>
      </c>
      <c r="F24" s="107">
        <f>L24+(S2*I24)</f>
        <v>2.901</v>
      </c>
      <c r="G24" s="102"/>
      <c r="H24" s="102">
        <v>-0.00258000000000003</v>
      </c>
      <c r="I24" s="102">
        <v>0.00966000000000005</v>
      </c>
      <c r="K24" s="1">
        <v>1.0763</v>
      </c>
      <c r="L24" s="1">
        <v>2.901</v>
      </c>
      <c r="W24" s="120">
        <v>4.0</v>
      </c>
      <c r="X24" s="1">
        <v>21.0</v>
      </c>
      <c r="Y24" s="104">
        <f>AA24+5</f>
        <v>6.0763</v>
      </c>
      <c r="Z24" s="104">
        <f>AB24</f>
        <v>2.901</v>
      </c>
      <c r="AA24" s="1">
        <f>AI24+(AQ2*AD24)</f>
        <v>1.0763</v>
      </c>
      <c r="AB24" s="1">
        <f>AJ24+(AQ2*AE24)</f>
        <v>2.901</v>
      </c>
      <c r="AD24" s="1">
        <v>-0.00258000000000003</v>
      </c>
      <c r="AE24" s="1">
        <v>0.00966000000000005</v>
      </c>
      <c r="AG24" s="68">
        <f>AI24+5</f>
        <v>6.0763</v>
      </c>
      <c r="AH24" s="68">
        <f>AJ24</f>
        <v>2.901</v>
      </c>
      <c r="AI24" s="1">
        <v>1.0763</v>
      </c>
      <c r="AJ24" s="1">
        <v>2.901</v>
      </c>
      <c r="AV24" s="103">
        <f>E27</f>
        <v>1.3721</v>
      </c>
      <c r="AW24" s="103">
        <f>F27</f>
        <v>2.9478</v>
      </c>
      <c r="AY24" s="103">
        <f>Y27</f>
        <v>6.3721</v>
      </c>
      <c r="AZ24" s="103">
        <f>Z27</f>
        <v>2.9478</v>
      </c>
    </row>
    <row r="25" spans="8:8" ht="15.0" customHeight="1">
      <c r="A25" s="119">
        <v>4.0</v>
      </c>
      <c r="B25" s="1">
        <v>22.0</v>
      </c>
      <c r="E25" s="107">
        <f>K25+(S2*H25)</f>
        <v>1.1738</v>
      </c>
      <c r="F25" s="107">
        <f>L25+(S2*I25)</f>
        <v>2.9234</v>
      </c>
      <c r="G25" s="102"/>
      <c r="H25" s="102">
        <v>-0.00192000000000001</v>
      </c>
      <c r="I25" s="102">
        <v>0.00982000000000003</v>
      </c>
      <c r="K25" s="1">
        <v>1.1738</v>
      </c>
      <c r="L25" s="1">
        <v>2.9234</v>
      </c>
      <c r="W25" s="120">
        <v>4.0</v>
      </c>
      <c r="X25" s="1">
        <v>22.0</v>
      </c>
      <c r="Y25" s="104">
        <f>AA25+5</f>
        <v>6.1738</v>
      </c>
      <c r="Z25" s="104">
        <f>AB25</f>
        <v>2.9234</v>
      </c>
      <c r="AA25" s="1">
        <f>AI25+(AQ2*AD25)</f>
        <v>1.1738</v>
      </c>
      <c r="AB25" s="1">
        <f>AJ25+(AQ2*AE25)</f>
        <v>2.9234</v>
      </c>
      <c r="AD25" s="1">
        <v>-0.00192000000000001</v>
      </c>
      <c r="AE25" s="1">
        <v>0.00982000000000003</v>
      </c>
      <c r="AG25" s="68">
        <f>AI25+5</f>
        <v>6.1738</v>
      </c>
      <c r="AH25" s="68">
        <f>AJ25</f>
        <v>2.9234</v>
      </c>
      <c r="AI25" s="1">
        <v>1.1738</v>
      </c>
      <c r="AJ25" s="1">
        <v>2.9234</v>
      </c>
      <c r="AV25" s="103">
        <f>E28</f>
        <v>1.4721</v>
      </c>
      <c r="AW25" s="103">
        <f>F28</f>
        <v>2.9498</v>
      </c>
      <c r="AY25" s="103">
        <f>Y28</f>
        <v>6.4721</v>
      </c>
      <c r="AZ25" s="103">
        <f>Z28</f>
        <v>2.9498</v>
      </c>
    </row>
    <row r="26" spans="8:8" ht="15.0" customHeight="1">
      <c r="A26" s="119">
        <v>4.0</v>
      </c>
      <c r="B26" s="1">
        <v>23.0</v>
      </c>
      <c r="E26" s="107">
        <f>K26+(S2*H26)</f>
        <v>1.2725</v>
      </c>
      <c r="F26" s="107">
        <f>L26+(S2*I26)</f>
        <v>2.9391</v>
      </c>
      <c r="G26" s="102"/>
      <c r="H26" s="102">
        <v>-0.00122</v>
      </c>
      <c r="I26" s="102">
        <v>0.00992000000000006</v>
      </c>
      <c r="K26" s="1">
        <v>1.2725</v>
      </c>
      <c r="L26" s="1">
        <v>2.9391</v>
      </c>
      <c r="W26" s="120">
        <v>4.0</v>
      </c>
      <c r="X26" s="1">
        <v>23.0</v>
      </c>
      <c r="Y26" s="104">
        <f>AA26+5</f>
        <v>6.2725</v>
      </c>
      <c r="Z26" s="104">
        <f>AB26</f>
        <v>2.9391</v>
      </c>
      <c r="AA26" s="1">
        <f>AI26+(AQ2*AD26)</f>
        <v>1.2725</v>
      </c>
      <c r="AB26" s="1">
        <f>AJ26+(AQ2*AE26)</f>
        <v>2.9391</v>
      </c>
      <c r="AD26" s="1">
        <v>-0.00122</v>
      </c>
      <c r="AE26" s="1">
        <v>0.00992000000000006</v>
      </c>
      <c r="AG26" s="68">
        <f>AI26+5</f>
        <v>6.2725</v>
      </c>
      <c r="AH26" s="68">
        <f>AJ26</f>
        <v>2.9391</v>
      </c>
      <c r="AI26" s="1">
        <v>1.2725</v>
      </c>
      <c r="AJ26" s="1">
        <v>2.9391</v>
      </c>
      <c r="AV26" s="103">
        <f>E29</f>
        <v>1.5719</v>
      </c>
      <c r="AW26" s="103">
        <f>F29</f>
        <v>2.9448</v>
      </c>
      <c r="AY26" s="103">
        <f>Y29</f>
        <v>6.5719</v>
      </c>
      <c r="AZ26" s="103">
        <f>Z29</f>
        <v>2.9448</v>
      </c>
    </row>
    <row r="27" spans="8:8" ht="15.0" customHeight="1">
      <c r="A27" s="119">
        <v>4.0</v>
      </c>
      <c r="B27" s="1">
        <v>24.0</v>
      </c>
      <c r="E27" s="107">
        <f>K27+(S2*H27)</f>
        <v>1.3721</v>
      </c>
      <c r="F27" s="107">
        <f>L27+(S2*I27)</f>
        <v>2.9478</v>
      </c>
      <c r="G27" s="102"/>
      <c r="H27" s="102">
        <v>-5.40000000000029E-4</v>
      </c>
      <c r="I27" s="102">
        <v>0.00999999999999996</v>
      </c>
      <c r="K27" s="1">
        <v>1.3721</v>
      </c>
      <c r="L27" s="1">
        <v>2.9478</v>
      </c>
      <c r="W27" s="120">
        <v>4.0</v>
      </c>
      <c r="X27" s="1">
        <v>24.0</v>
      </c>
      <c r="Y27" s="104">
        <f>AA27+5</f>
        <v>6.3721</v>
      </c>
      <c r="Z27" s="104">
        <f>AB27</f>
        <v>2.9478</v>
      </c>
      <c r="AA27" s="1">
        <f>AI27+(AQ2*AD27)</f>
        <v>1.3721</v>
      </c>
      <c r="AB27" s="1">
        <f>AJ27+(AQ2*AE27)</f>
        <v>2.9478</v>
      </c>
      <c r="AD27" s="1">
        <v>-5.40000000000029E-4</v>
      </c>
      <c r="AE27" s="1">
        <v>0.00999999999999996</v>
      </c>
      <c r="AG27" s="68">
        <f>AI27+5</f>
        <v>6.3721</v>
      </c>
      <c r="AH27" s="68">
        <f>AJ27</f>
        <v>2.9478</v>
      </c>
      <c r="AI27" s="1">
        <v>1.3721</v>
      </c>
      <c r="AJ27" s="1">
        <v>2.9478</v>
      </c>
      <c r="AV27" s="103">
        <f>E30</f>
        <v>1.6712</v>
      </c>
      <c r="AW27" s="103">
        <f>F30</f>
        <v>2.9329</v>
      </c>
      <c r="AY27" s="103">
        <f>Y30</f>
        <v>6.6712</v>
      </c>
      <c r="AZ27" s="103">
        <f>Z30</f>
        <v>2.9329</v>
      </c>
    </row>
    <row r="28" spans="8:8" ht="15.0" customHeight="1">
      <c r="A28" s="115">
        <v>4.0</v>
      </c>
      <c r="B28" s="116">
        <v>25.0</v>
      </c>
      <c r="C28" s="116"/>
      <c r="D28" s="116"/>
      <c r="E28" s="117">
        <f>K28+(S2*H28)</f>
        <v>1.4721</v>
      </c>
      <c r="F28" s="117">
        <f>L28+(S2*I28)</f>
        <v>2.9498</v>
      </c>
      <c r="G28" s="115"/>
      <c r="H28" s="115">
        <v>1.40000000000029E-4</v>
      </c>
      <c r="I28" s="115">
        <v>0.00997999999999992</v>
      </c>
      <c r="J28" s="116"/>
      <c r="K28" s="116">
        <v>1.4721</v>
      </c>
      <c r="L28" s="116">
        <v>2.9498</v>
      </c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>
        <v>4.0</v>
      </c>
      <c r="X28" s="116">
        <v>25.0</v>
      </c>
      <c r="Y28" s="104">
        <f>AA28+5</f>
        <v>6.4721</v>
      </c>
      <c r="Z28" s="104">
        <f>AB28</f>
        <v>2.9498</v>
      </c>
      <c r="AA28" s="116">
        <f>AI28+(AQ2*AD28)</f>
        <v>1.4721</v>
      </c>
      <c r="AB28" s="116">
        <f>AJ28+(AQ2*AE28)</f>
        <v>2.9498</v>
      </c>
      <c r="AC28" s="116"/>
      <c r="AD28" s="116">
        <v>1.40000000000029E-4</v>
      </c>
      <c r="AE28" s="116">
        <v>0.00997999999999992</v>
      </c>
      <c r="AF28" s="116"/>
      <c r="AG28" s="68">
        <f>AI28+5</f>
        <v>6.4721</v>
      </c>
      <c r="AH28" s="68">
        <f>AJ28</f>
        <v>2.9498</v>
      </c>
      <c r="AI28" s="116">
        <v>1.4721</v>
      </c>
      <c r="AJ28" s="116">
        <v>2.9498</v>
      </c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V28" s="103">
        <f>E31</f>
        <v>1.7694</v>
      </c>
      <c r="AW28" s="103">
        <f>F31</f>
        <v>2.9142</v>
      </c>
      <c r="AY28" s="103">
        <f>Y31</f>
        <v>6.7694</v>
      </c>
      <c r="AZ28" s="103">
        <f>Z31</f>
        <v>2.9142</v>
      </c>
    </row>
    <row r="29" spans="8:8" ht="15.0" customHeight="1">
      <c r="A29" s="115">
        <v>4.0</v>
      </c>
      <c r="B29" s="1">
        <v>26.0</v>
      </c>
      <c r="E29" s="107">
        <f>K29+(S2*H29)</f>
        <v>1.5719</v>
      </c>
      <c r="F29" s="107">
        <f>L29+(S2*I29)</f>
        <v>2.9448</v>
      </c>
      <c r="G29" s="102"/>
      <c r="H29" s="102">
        <v>8.39999999999996E-4</v>
      </c>
      <c r="I29" s="102">
        <v>0.00996000000000006</v>
      </c>
      <c r="K29" s="1">
        <v>1.5719</v>
      </c>
      <c r="L29" s="1">
        <v>2.9448</v>
      </c>
      <c r="W29" s="116">
        <v>4.0</v>
      </c>
      <c r="X29" s="1">
        <v>26.0</v>
      </c>
      <c r="Y29" s="104">
        <f>AA29+5</f>
        <v>6.5719</v>
      </c>
      <c r="Z29" s="104">
        <f>AB29</f>
        <v>2.9448</v>
      </c>
      <c r="AA29" s="1">
        <f>AI29+(AQ2*AD29)</f>
        <v>1.5719</v>
      </c>
      <c r="AB29" s="1">
        <f>AJ29+(AQ2*AE29)</f>
        <v>2.9448</v>
      </c>
      <c r="AD29" s="1">
        <v>8.39999999999996E-4</v>
      </c>
      <c r="AE29" s="1">
        <v>0.00996000000000006</v>
      </c>
      <c r="AG29" s="68">
        <f>AI29+5</f>
        <v>6.5719</v>
      </c>
      <c r="AH29" s="68">
        <f>AJ29</f>
        <v>2.9448</v>
      </c>
      <c r="AI29" s="1">
        <v>1.5719</v>
      </c>
      <c r="AJ29" s="1">
        <v>2.9448</v>
      </c>
      <c r="AV29" s="103">
        <f>E32</f>
        <v>1.8661</v>
      </c>
      <c r="AW29" s="103">
        <f>F32</f>
        <v>2.8888</v>
      </c>
      <c r="AY29" s="103">
        <f>Y32</f>
        <v>6.8661</v>
      </c>
      <c r="AZ29" s="103">
        <f>Z32</f>
        <v>2.8888</v>
      </c>
    </row>
    <row r="30" spans="8:8" ht="15.0" customHeight="1">
      <c r="A30" s="115">
        <v>4.0</v>
      </c>
      <c r="B30" s="1">
        <v>27.0</v>
      </c>
      <c r="E30" s="107">
        <f>K30+(S2*H30)</f>
        <v>1.6712</v>
      </c>
      <c r="F30" s="107">
        <f>L30+(S2*I30)</f>
        <v>2.9329</v>
      </c>
      <c r="G30" s="102"/>
      <c r="H30" s="102">
        <v>0.00152000000000001</v>
      </c>
      <c r="I30" s="102">
        <v>0.00987999999999998</v>
      </c>
      <c r="K30" s="1">
        <v>1.6712</v>
      </c>
      <c r="L30" s="1">
        <v>2.9329</v>
      </c>
      <c r="W30" s="116">
        <v>4.0</v>
      </c>
      <c r="X30" s="1">
        <v>27.0</v>
      </c>
      <c r="Y30" s="104">
        <f>AA30+5</f>
        <v>6.6712</v>
      </c>
      <c r="Z30" s="104">
        <f>AB30</f>
        <v>2.9329</v>
      </c>
      <c r="AA30" s="1">
        <f>AI30+(AQ2*AD30)</f>
        <v>1.6712</v>
      </c>
      <c r="AB30" s="1">
        <f>AJ30+(AQ2*AE30)</f>
        <v>2.9329</v>
      </c>
      <c r="AD30" s="1">
        <v>0.00152000000000001</v>
      </c>
      <c r="AE30" s="1">
        <v>0.00987999999999998</v>
      </c>
      <c r="AG30" s="68">
        <f>AI30+5</f>
        <v>6.6712</v>
      </c>
      <c r="AH30" s="68">
        <f>AJ30</f>
        <v>2.9329</v>
      </c>
      <c r="AI30" s="1">
        <v>1.6712</v>
      </c>
      <c r="AJ30" s="1">
        <v>2.9329</v>
      </c>
      <c r="AV30" s="103">
        <f>E33</f>
        <v>1.9608</v>
      </c>
      <c r="AW30" s="103">
        <f>F33</f>
        <v>2.8569</v>
      </c>
      <c r="AY30" s="103">
        <f>Y33</f>
        <v>6.9608</v>
      </c>
      <c r="AZ30" s="103">
        <f>Z33</f>
        <v>2.8569</v>
      </c>
    </row>
    <row r="31" spans="8:8" ht="15.0" customHeight="1">
      <c r="A31" s="115">
        <v>4.0</v>
      </c>
      <c r="B31" s="1">
        <v>28.0</v>
      </c>
      <c r="E31" s="107">
        <f>K31+(S2*H31)</f>
        <v>1.7694</v>
      </c>
      <c r="F31" s="107">
        <f>L31+(S2*I31)</f>
        <v>2.9142</v>
      </c>
      <c r="G31" s="102"/>
      <c r="H31" s="102">
        <v>0.00219999999999998</v>
      </c>
      <c r="I31" s="102">
        <v>0.00975999999999999</v>
      </c>
      <c r="K31" s="1">
        <v>1.7694</v>
      </c>
      <c r="L31" s="1">
        <v>2.9142</v>
      </c>
      <c r="W31" s="116">
        <v>4.0</v>
      </c>
      <c r="X31" s="1">
        <v>28.0</v>
      </c>
      <c r="Y31" s="104">
        <f>AA31+5</f>
        <v>6.7694</v>
      </c>
      <c r="Z31" s="104">
        <f>AB31</f>
        <v>2.9142</v>
      </c>
      <c r="AA31" s="1">
        <f>AI31+(AQ2*AD31)</f>
        <v>1.7694</v>
      </c>
      <c r="AB31" s="1">
        <f>AJ31+(AQ2*AE31)</f>
        <v>2.9142</v>
      </c>
      <c r="AD31" s="1">
        <v>0.00219999999999998</v>
      </c>
      <c r="AE31" s="1">
        <v>0.00975999999999999</v>
      </c>
      <c r="AG31" s="68">
        <f>AI31+5</f>
        <v>6.7694</v>
      </c>
      <c r="AH31" s="68">
        <f>AJ31</f>
        <v>2.9142</v>
      </c>
      <c r="AI31" s="1">
        <v>1.7694</v>
      </c>
      <c r="AJ31" s="1">
        <v>2.9142</v>
      </c>
      <c r="AV31" s="103">
        <f>E34</f>
        <v>2.0531</v>
      </c>
      <c r="AW31" s="103">
        <f>F34</f>
        <v>2.8184</v>
      </c>
      <c r="AY31" s="103">
        <f>Y34</f>
        <v>7.053100000000001</v>
      </c>
      <c r="AZ31" s="103">
        <f>Z34</f>
        <v>2.8184</v>
      </c>
    </row>
    <row r="32" spans="8:8" ht="15.0" customHeight="1">
      <c r="A32" s="115">
        <v>4.0</v>
      </c>
      <c r="B32" s="1">
        <v>29.0</v>
      </c>
      <c r="E32" s="107">
        <f>K32+(S2*H32)</f>
        <v>1.8661</v>
      </c>
      <c r="F32" s="107">
        <f>L32+(S2*I32)</f>
        <v>2.8888</v>
      </c>
      <c r="G32" s="102"/>
      <c r="H32" s="102">
        <v>0.00287999999999999</v>
      </c>
      <c r="I32" s="102">
        <v>0.00958000000000006</v>
      </c>
      <c r="K32" s="1">
        <v>1.8661</v>
      </c>
      <c r="L32" s="1">
        <v>2.8888</v>
      </c>
      <c r="W32" s="116">
        <v>4.0</v>
      </c>
      <c r="X32" s="1">
        <v>29.0</v>
      </c>
      <c r="Y32" s="104">
        <f>AA32+5</f>
        <v>6.8661</v>
      </c>
      <c r="Z32" s="104">
        <f>AB32</f>
        <v>2.8888</v>
      </c>
      <c r="AA32" s="1">
        <f>AI32+(AQ2*AD32)</f>
        <v>1.8661</v>
      </c>
      <c r="AB32" s="1">
        <f>AJ32+(AQ2*AE32)</f>
        <v>2.8888</v>
      </c>
      <c r="AD32" s="1">
        <v>0.00287999999999999</v>
      </c>
      <c r="AE32" s="1">
        <v>0.00958000000000006</v>
      </c>
      <c r="AG32" s="68">
        <f>AI32+5</f>
        <v>6.8661</v>
      </c>
      <c r="AH32" s="68">
        <f>AJ32</f>
        <v>2.8888</v>
      </c>
      <c r="AI32" s="1">
        <v>1.8661</v>
      </c>
      <c r="AJ32" s="1">
        <v>2.8888</v>
      </c>
      <c r="AV32" s="103">
        <f>E35</f>
        <v>2.1426</v>
      </c>
      <c r="AW32" s="103">
        <f>F35</f>
        <v>2.7737</v>
      </c>
      <c r="AY32" s="103">
        <f>Y35</f>
        <v>7.1426</v>
      </c>
      <c r="AZ32" s="103">
        <f>Z35</f>
        <v>2.7737</v>
      </c>
    </row>
    <row r="33" spans="8:8" ht="15.0" customHeight="1">
      <c r="A33" s="119">
        <v>5.0</v>
      </c>
      <c r="B33" s="120">
        <v>30.0</v>
      </c>
      <c r="C33" s="120"/>
      <c r="D33" s="120"/>
      <c r="E33" s="121">
        <f>K33+(T2*H33)</f>
        <v>1.9608</v>
      </c>
      <c r="F33" s="121">
        <f>L33+(T2*I33)</f>
        <v>2.8569</v>
      </c>
      <c r="G33" s="119"/>
      <c r="H33" s="119">
        <v>0.00353999999999997</v>
      </c>
      <c r="I33" s="119">
        <v>0.00933999999999999</v>
      </c>
      <c r="J33" s="120"/>
      <c r="K33" s="120">
        <v>1.9608</v>
      </c>
      <c r="L33" s="120">
        <v>2.8569</v>
      </c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>
        <v>5.0</v>
      </c>
      <c r="X33" s="120">
        <v>30.0</v>
      </c>
      <c r="Y33" s="104">
        <f>AA33+5</f>
        <v>6.9608</v>
      </c>
      <c r="Z33" s="104">
        <f>AB33</f>
        <v>2.8569</v>
      </c>
      <c r="AA33" s="120">
        <f>AI33+(AR2*AD33)</f>
        <v>1.9608</v>
      </c>
      <c r="AB33" s="120">
        <f>AJ33+(AR2*AE33)</f>
        <v>2.8569</v>
      </c>
      <c r="AC33" s="120"/>
      <c r="AD33" s="120">
        <v>0.00353999999999997</v>
      </c>
      <c r="AE33" s="120">
        <v>0.00933999999999999</v>
      </c>
      <c r="AF33" s="120"/>
      <c r="AG33" s="68">
        <f>AI33+5</f>
        <v>6.9608</v>
      </c>
      <c r="AH33" s="68">
        <f>AJ33</f>
        <v>2.8569</v>
      </c>
      <c r="AI33" s="120">
        <v>1.9608</v>
      </c>
      <c r="AJ33" s="120">
        <v>2.8569</v>
      </c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V33" s="103">
        <f>E36</f>
        <v>2.2287</v>
      </c>
      <c r="AW33" s="103">
        <f>F36</f>
        <v>2.7229</v>
      </c>
      <c r="AY33" s="103">
        <f>Y36</f>
        <v>7.2287</v>
      </c>
      <c r="AZ33" s="103">
        <f>Z36</f>
        <v>2.7229</v>
      </c>
    </row>
    <row r="34" spans="8:8" ht="15.0" customHeight="1">
      <c r="A34" s="119">
        <v>5.0</v>
      </c>
      <c r="B34" s="1">
        <v>31.0</v>
      </c>
      <c r="E34" s="107">
        <f>K34+(T2*H34)</f>
        <v>2.0531</v>
      </c>
      <c r="F34" s="107">
        <f>L34+(T2*I34)</f>
        <v>2.8184</v>
      </c>
      <c r="G34" s="102"/>
      <c r="H34" s="102">
        <v>0.00415999999999999</v>
      </c>
      <c r="I34" s="102">
        <v>0.00910000000000002</v>
      </c>
      <c r="K34" s="1">
        <v>2.0531</v>
      </c>
      <c r="L34" s="1">
        <v>2.8184</v>
      </c>
      <c r="W34" s="120">
        <v>5.0</v>
      </c>
      <c r="X34" s="1">
        <v>31.0</v>
      </c>
      <c r="Y34" s="104">
        <f>AA34+5</f>
        <v>7.053100000000001</v>
      </c>
      <c r="Z34" s="104">
        <f>AB34</f>
        <v>2.8184</v>
      </c>
      <c r="AA34" s="1">
        <f>AI34+(AR2*AD34)</f>
        <v>2.0531</v>
      </c>
      <c r="AB34" s="1">
        <f>AJ34+(AR2*AE34)</f>
        <v>2.8184</v>
      </c>
      <c r="AD34" s="1">
        <v>0.00415999999999999</v>
      </c>
      <c r="AE34" s="1">
        <v>0.00910000000000002</v>
      </c>
      <c r="AG34" s="68">
        <f>AI34+5</f>
        <v>7.053100000000001</v>
      </c>
      <c r="AH34" s="68">
        <f>AJ34</f>
        <v>2.8184</v>
      </c>
      <c r="AI34" s="1">
        <v>2.0531</v>
      </c>
      <c r="AJ34" s="1">
        <v>2.8184</v>
      </c>
      <c r="AV34" s="103">
        <f>E37</f>
        <v>2.3111</v>
      </c>
      <c r="AW34" s="103">
        <f>F37</f>
        <v>2.6663</v>
      </c>
      <c r="AY34" s="103">
        <f>Y37</f>
        <v>7.3111</v>
      </c>
      <c r="AZ34" s="103">
        <f>Z37</f>
        <v>2.6663</v>
      </c>
    </row>
    <row r="35" spans="8:8" ht="15.0" customHeight="1">
      <c r="A35" s="119">
        <v>5.0</v>
      </c>
      <c r="B35" s="1">
        <v>32.0</v>
      </c>
      <c r="E35" s="107">
        <f>K35+(T2*H35)</f>
        <v>2.1426</v>
      </c>
      <c r="F35" s="107">
        <f>L35+(T2*I35)</f>
        <v>2.7737</v>
      </c>
      <c r="G35" s="102"/>
      <c r="H35" s="102">
        <v>0.00476000000000001</v>
      </c>
      <c r="I35" s="102">
        <v>0.00878000000000006</v>
      </c>
      <c r="K35" s="1">
        <v>2.1426</v>
      </c>
      <c r="L35" s="1">
        <v>2.7737</v>
      </c>
      <c r="W35" s="120">
        <v>5.0</v>
      </c>
      <c r="X35" s="1">
        <v>32.0</v>
      </c>
      <c r="Y35" s="104">
        <f>AA35+5</f>
        <v>7.1426</v>
      </c>
      <c r="Z35" s="104">
        <f>AB35</f>
        <v>2.7737</v>
      </c>
      <c r="AA35" s="1">
        <f>AI35+(AR2*AD35)</f>
        <v>2.1426</v>
      </c>
      <c r="AB35" s="1">
        <f>AJ35+(AR2*AE35)</f>
        <v>2.7737</v>
      </c>
      <c r="AD35" s="1">
        <v>0.00476000000000001</v>
      </c>
      <c r="AE35" s="1">
        <v>0.00878000000000006</v>
      </c>
      <c r="AG35" s="68">
        <f>AI35+5</f>
        <v>7.1426</v>
      </c>
      <c r="AH35" s="68">
        <f>AJ35</f>
        <v>2.7737</v>
      </c>
      <c r="AI35" s="1">
        <v>2.1426</v>
      </c>
      <c r="AJ35" s="1">
        <v>2.7737</v>
      </c>
      <c r="AV35" s="103">
        <f>E38</f>
        <v>2.3894</v>
      </c>
      <c r="AW35" s="103">
        <f>F38</f>
        <v>2.6042</v>
      </c>
      <c r="AY35" s="103">
        <f>Y38</f>
        <v>7.3894</v>
      </c>
      <c r="AZ35" s="103">
        <f>Z38</f>
        <v>2.6042</v>
      </c>
    </row>
    <row r="36" spans="8:8" ht="15.0" customHeight="1">
      <c r="A36" s="119">
        <v>5.0</v>
      </c>
      <c r="B36" s="1">
        <v>33.0</v>
      </c>
      <c r="E36" s="107">
        <f>K36+(T2*H36)</f>
        <v>2.2287</v>
      </c>
      <c r="F36" s="107">
        <f>L36+(T2*I36)</f>
        <v>2.7229</v>
      </c>
      <c r="G36" s="102"/>
      <c r="H36" s="102">
        <v>0.00536000000000003</v>
      </c>
      <c r="I36" s="102">
        <v>0.00843999999999996</v>
      </c>
      <c r="K36" s="1">
        <v>2.2287</v>
      </c>
      <c r="L36" s="1">
        <v>2.7229</v>
      </c>
      <c r="W36" s="120">
        <v>5.0</v>
      </c>
      <c r="X36" s="1">
        <v>33.0</v>
      </c>
      <c r="Y36" s="104">
        <f>AA36+5</f>
        <v>7.2287</v>
      </c>
      <c r="Z36" s="104">
        <f>AB36</f>
        <v>2.7229</v>
      </c>
      <c r="AA36" s="1">
        <f>AI36+(AR2*AD36)</f>
        <v>2.2287</v>
      </c>
      <c r="AB36" s="1">
        <f>AJ36+(AR2*AE36)</f>
        <v>2.7229</v>
      </c>
      <c r="AD36" s="1">
        <v>0.00536000000000003</v>
      </c>
      <c r="AE36" s="1">
        <v>0.00843999999999996</v>
      </c>
      <c r="AG36" s="68">
        <f>AI36+5</f>
        <v>7.2287</v>
      </c>
      <c r="AH36" s="68">
        <f>AJ36</f>
        <v>2.7229</v>
      </c>
      <c r="AI36" s="1">
        <v>2.2287</v>
      </c>
      <c r="AJ36" s="1">
        <v>2.7229</v>
      </c>
      <c r="AV36" s="103">
        <f>E39</f>
        <v>2.4633</v>
      </c>
      <c r="AW36" s="103">
        <f>F39</f>
        <v>2.5368</v>
      </c>
      <c r="AY36" s="103">
        <f>Y39</f>
        <v>7.4633</v>
      </c>
      <c r="AZ36" s="103">
        <f>Z39</f>
        <v>2.5368</v>
      </c>
    </row>
    <row r="37" spans="8:8" ht="15.0" customHeight="1">
      <c r="A37" s="119">
        <v>5.0</v>
      </c>
      <c r="B37" s="1">
        <v>34.0</v>
      </c>
      <c r="E37" s="107">
        <f>K37+(T2*H37)</f>
        <v>2.3111</v>
      </c>
      <c r="F37" s="107">
        <f>L37+(T2*I37)</f>
        <v>2.6663</v>
      </c>
      <c r="G37" s="102"/>
      <c r="H37" s="102">
        <v>0.00594000000000001</v>
      </c>
      <c r="I37" s="102">
        <v>0.00805999999999996</v>
      </c>
      <c r="K37" s="1">
        <v>2.3111</v>
      </c>
      <c r="L37" s="1">
        <v>2.6663</v>
      </c>
      <c r="W37" s="120">
        <v>5.0</v>
      </c>
      <c r="X37" s="1">
        <v>34.0</v>
      </c>
      <c r="Y37" s="104">
        <f>AA37+5</f>
        <v>7.3111</v>
      </c>
      <c r="Z37" s="104">
        <f>AB37</f>
        <v>2.6663</v>
      </c>
      <c r="AA37" s="1">
        <f>AI37+(AR2*AD37)</f>
        <v>2.3111</v>
      </c>
      <c r="AB37" s="1">
        <f>AJ37+(AR2*AE37)</f>
        <v>2.6663</v>
      </c>
      <c r="AD37" s="1">
        <v>0.00594000000000001</v>
      </c>
      <c r="AE37" s="1">
        <v>0.00805999999999996</v>
      </c>
      <c r="AG37" s="68">
        <f>AI37+5</f>
        <v>7.3111</v>
      </c>
      <c r="AH37" s="68">
        <f>AJ37</f>
        <v>2.6663</v>
      </c>
      <c r="AI37" s="1">
        <v>2.3111</v>
      </c>
      <c r="AJ37" s="1">
        <v>2.6663</v>
      </c>
      <c r="AV37" s="103">
        <f>E40</f>
        <v>2.5323</v>
      </c>
      <c r="AW37" s="103">
        <f>F40</f>
        <v>2.4645</v>
      </c>
      <c r="AY37" s="103">
        <f>Y40</f>
        <v>7.5323</v>
      </c>
      <c r="AZ37" s="103">
        <f>Z40</f>
        <v>2.4645</v>
      </c>
    </row>
    <row r="38" spans="8:8" ht="15.0" customHeight="1">
      <c r="A38" s="119">
        <v>5.0</v>
      </c>
      <c r="B38" s="1">
        <v>35.0</v>
      </c>
      <c r="E38" s="107">
        <f>K38+(T2*H38)</f>
        <v>2.3894</v>
      </c>
      <c r="F38" s="107">
        <f>L38+(T2*I38)</f>
        <v>2.6042</v>
      </c>
      <c r="G38" s="102"/>
      <c r="H38" s="102">
        <v>0.00648</v>
      </c>
      <c r="I38" s="102">
        <v>0.00762</v>
      </c>
      <c r="K38" s="1">
        <v>2.3894</v>
      </c>
      <c r="L38" s="1">
        <v>2.6042</v>
      </c>
      <c r="W38" s="120">
        <v>5.0</v>
      </c>
      <c r="X38" s="1">
        <v>35.0</v>
      </c>
      <c r="Y38" s="104">
        <f>AA38+5</f>
        <v>7.3894</v>
      </c>
      <c r="Z38" s="104">
        <f>AB38</f>
        <v>2.6042</v>
      </c>
      <c r="AA38" s="1">
        <f>AI38+(AR2*AD38)</f>
        <v>2.3894</v>
      </c>
      <c r="AB38" s="1">
        <f>AJ38+(AR2*AE38)</f>
        <v>2.6042</v>
      </c>
      <c r="AD38" s="1">
        <v>0.00648</v>
      </c>
      <c r="AE38" s="1">
        <v>0.00762</v>
      </c>
      <c r="AG38" s="68">
        <f>AI38+5</f>
        <v>7.3894</v>
      </c>
      <c r="AH38" s="68">
        <f>AJ38</f>
        <v>2.6042</v>
      </c>
      <c r="AI38" s="1">
        <v>2.3894</v>
      </c>
      <c r="AJ38" s="1">
        <v>2.6042</v>
      </c>
      <c r="AV38" s="103">
        <f>E41</f>
        <v>2.5962</v>
      </c>
      <c r="AW38" s="103">
        <f>F41</f>
        <v>2.3876</v>
      </c>
      <c r="AY38" s="103">
        <f>Y41</f>
        <v>7.5962</v>
      </c>
      <c r="AZ38" s="103">
        <f>Z41</f>
        <v>2.3876</v>
      </c>
    </row>
    <row r="39" spans="8:8" ht="15.0" customHeight="1">
      <c r="A39" s="115">
        <v>5.0</v>
      </c>
      <c r="B39" s="116">
        <v>36.0</v>
      </c>
      <c r="C39" s="116"/>
      <c r="D39" s="116"/>
      <c r="E39" s="117">
        <f>K39+(T2*H39)</f>
        <v>2.4633</v>
      </c>
      <c r="F39" s="117">
        <f>L39+(U2*I39)</f>
        <v>2.5368</v>
      </c>
      <c r="G39" s="115"/>
      <c r="H39" s="115">
        <v>0.007</v>
      </c>
      <c r="I39" s="115">
        <v>0.007</v>
      </c>
      <c r="J39" s="116"/>
      <c r="K39" s="116">
        <v>2.4633</v>
      </c>
      <c r="L39" s="116">
        <v>2.5368</v>
      </c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>
        <v>5.0</v>
      </c>
      <c r="X39" s="116">
        <v>36.0</v>
      </c>
      <c r="Y39" s="104">
        <f>AA39+5</f>
        <v>7.4633</v>
      </c>
      <c r="Z39" s="104">
        <f>AB39</f>
        <v>2.5368</v>
      </c>
      <c r="AA39" s="68">
        <f>AI39+(AR2*AD39)</f>
        <v>2.4633</v>
      </c>
      <c r="AB39" s="68">
        <f>AJ39+(AS2*AE39)</f>
        <v>2.5368</v>
      </c>
      <c r="AC39" s="116"/>
      <c r="AD39" s="116">
        <v>0.007</v>
      </c>
      <c r="AE39" s="116">
        <v>0.007</v>
      </c>
      <c r="AF39" s="116"/>
      <c r="AG39" s="68">
        <f>AI39+5</f>
        <v>7.4633</v>
      </c>
      <c r="AH39" s="68">
        <f>AJ39</f>
        <v>2.5368</v>
      </c>
      <c r="AI39" s="116">
        <v>2.4633</v>
      </c>
      <c r="AJ39" s="116">
        <v>2.5368</v>
      </c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V39" s="103">
        <f>E42</f>
        <v>2.6547</v>
      </c>
      <c r="AW39" s="103">
        <f>F42</f>
        <v>2.3065</v>
      </c>
      <c r="AY39" s="103">
        <f>Y42</f>
        <v>7.6547</v>
      </c>
      <c r="AZ39" s="103">
        <f>Z42</f>
        <v>2.3065</v>
      </c>
    </row>
    <row r="40" spans="8:8" ht="15.0" customHeight="1">
      <c r="A40" s="115">
        <v>5.0</v>
      </c>
      <c r="B40" s="1">
        <v>37.0</v>
      </c>
      <c r="E40" s="107">
        <f>K40+(T2*H40)</f>
        <v>2.5323</v>
      </c>
      <c r="F40" s="107">
        <f>L40+(T2*I40)</f>
        <v>2.4645</v>
      </c>
      <c r="G40" s="102"/>
      <c r="H40" s="102">
        <v>0.00747999999999998</v>
      </c>
      <c r="I40" s="102">
        <v>0.00665999999999993</v>
      </c>
      <c r="K40" s="1">
        <v>2.5323</v>
      </c>
      <c r="L40" s="1">
        <v>2.4645</v>
      </c>
      <c r="W40" s="116">
        <v>5.0</v>
      </c>
      <c r="X40" s="1">
        <v>37.0</v>
      </c>
      <c r="Y40" s="104">
        <f>AA40+5</f>
        <v>7.5323</v>
      </c>
      <c r="Z40" s="104">
        <f>AB40</f>
        <v>2.4645</v>
      </c>
      <c r="AA40" s="1">
        <f>AI40+(AR2*AD40)</f>
        <v>2.5323</v>
      </c>
      <c r="AB40" s="1">
        <f>AJ40+(AR2*AE40)</f>
        <v>2.4645</v>
      </c>
      <c r="AD40" s="1">
        <v>0.00747999999999998</v>
      </c>
      <c r="AE40" s="1">
        <v>0.00665999999999993</v>
      </c>
      <c r="AG40" s="68">
        <f>AI40+5</f>
        <v>7.5323</v>
      </c>
      <c r="AH40" s="68">
        <f>AJ40</f>
        <v>2.4645</v>
      </c>
      <c r="AI40" s="1">
        <v>2.5323</v>
      </c>
      <c r="AJ40" s="1">
        <v>2.4645</v>
      </c>
      <c r="AV40" s="103">
        <f>E43</f>
        <v>2.7074</v>
      </c>
      <c r="AW40" s="103">
        <f>F43</f>
        <v>2.2215</v>
      </c>
      <c r="AY40" s="103">
        <f>Y43</f>
        <v>7.7074</v>
      </c>
      <c r="AZ40" s="103">
        <f>Z43</f>
        <v>2.2215</v>
      </c>
    </row>
    <row r="41" spans="8:8" ht="15.0" customHeight="1">
      <c r="A41" s="115">
        <v>5.0</v>
      </c>
      <c r="B41" s="1">
        <v>38.0</v>
      </c>
      <c r="E41" s="107">
        <f>K41+(T2*H41)</f>
        <v>2.5962</v>
      </c>
      <c r="F41" s="107">
        <f>L41+(T2*I41)</f>
        <v>2.3876</v>
      </c>
      <c r="G41" s="102"/>
      <c r="H41" s="102">
        <v>0.00792000000000002</v>
      </c>
      <c r="I41" s="102">
        <v>0.00612000000000004</v>
      </c>
      <c r="K41" s="1">
        <v>2.5962</v>
      </c>
      <c r="L41" s="1">
        <v>2.3876</v>
      </c>
      <c r="W41" s="116">
        <v>5.0</v>
      </c>
      <c r="X41" s="1">
        <v>38.0</v>
      </c>
      <c r="Y41" s="104">
        <f>AA41+5</f>
        <v>7.5962</v>
      </c>
      <c r="Z41" s="104">
        <f>AB41</f>
        <v>2.3876</v>
      </c>
      <c r="AA41" s="1">
        <f>AI41+(AR2*AD41)</f>
        <v>2.5962</v>
      </c>
      <c r="AB41" s="1">
        <f>AJ41+(AR2*AE41)</f>
        <v>2.3876</v>
      </c>
      <c r="AD41" s="1">
        <v>0.00792000000000002</v>
      </c>
      <c r="AE41" s="1">
        <v>0.00612000000000004</v>
      </c>
      <c r="AG41" s="68">
        <f>AI41+5</f>
        <v>7.5962</v>
      </c>
      <c r="AH41" s="68">
        <f>AJ41</f>
        <v>2.3876</v>
      </c>
      <c r="AI41" s="1">
        <v>2.5962</v>
      </c>
      <c r="AJ41" s="1">
        <v>2.3876</v>
      </c>
      <c r="AV41" s="103">
        <f>E44</f>
        <v>2.7541</v>
      </c>
      <c r="AW41" s="103">
        <f>F44</f>
        <v>2.1332</v>
      </c>
      <c r="AY41" s="103">
        <f>Y44</f>
        <v>7.7541</v>
      </c>
      <c r="AZ41" s="103">
        <f>Z44</f>
        <v>2.1332</v>
      </c>
    </row>
    <row r="42" spans="8:8" ht="15.0" customHeight="1">
      <c r="A42" s="115">
        <v>5.0</v>
      </c>
      <c r="B42" s="1">
        <v>39.0</v>
      </c>
      <c r="E42" s="107">
        <f>K42+(T2*H42)</f>
        <v>2.6547</v>
      </c>
      <c r="F42" s="107">
        <f>L42+(T2*I42)</f>
        <v>2.3065</v>
      </c>
      <c r="G42" s="102"/>
      <c r="H42" s="102">
        <v>0.00830000000000002</v>
      </c>
      <c r="I42" s="102">
        <v>0.00555999999999992</v>
      </c>
      <c r="K42" s="1">
        <v>2.6547</v>
      </c>
      <c r="L42" s="1">
        <v>2.3065</v>
      </c>
      <c r="W42" s="116">
        <v>5.0</v>
      </c>
      <c r="X42" s="1">
        <v>39.0</v>
      </c>
      <c r="Y42" s="104">
        <f>AA42+5</f>
        <v>7.6547</v>
      </c>
      <c r="Z42" s="104">
        <f>AB42</f>
        <v>2.3065</v>
      </c>
      <c r="AA42" s="1">
        <f>AI42+(AR2*AD42)</f>
        <v>2.6547</v>
      </c>
      <c r="AB42" s="1">
        <f>AJ42+(AR2*AE42)</f>
        <v>2.3065</v>
      </c>
      <c r="AD42" s="1">
        <v>0.00830000000000002</v>
      </c>
      <c r="AE42" s="1">
        <v>0.00555999999999992</v>
      </c>
      <c r="AG42" s="68">
        <f>AI42+5</f>
        <v>7.6547</v>
      </c>
      <c r="AH42" s="68">
        <f>AJ42</f>
        <v>2.3065</v>
      </c>
      <c r="AI42" s="1">
        <v>2.6547</v>
      </c>
      <c r="AJ42" s="1">
        <v>2.3065</v>
      </c>
      <c r="AV42" s="103">
        <f>E45</f>
        <v>2.7947</v>
      </c>
      <c r="AW42" s="103">
        <f>F45</f>
        <v>2.0418</v>
      </c>
      <c r="AY42" s="103">
        <f>Y45</f>
        <v>7.794700000000001</v>
      </c>
      <c r="AZ42" s="103">
        <f>Z45</f>
        <v>2.0418</v>
      </c>
    </row>
    <row r="43" spans="8:8" ht="15.0" customHeight="1">
      <c r="A43" s="115">
        <v>5.0</v>
      </c>
      <c r="B43" s="1">
        <v>40.0</v>
      </c>
      <c r="E43" s="107">
        <f>K43+(T2*H43)</f>
        <v>2.7074</v>
      </c>
      <c r="F43" s="107">
        <f>L43+(T2*I43)</f>
        <v>2.2215</v>
      </c>
      <c r="G43" s="102"/>
      <c r="H43" s="102">
        <v>0.00868000000000002</v>
      </c>
      <c r="I43" s="102">
        <v>0.00498000000000003</v>
      </c>
      <c r="K43" s="1">
        <v>2.7074</v>
      </c>
      <c r="L43" s="1">
        <v>2.2215</v>
      </c>
      <c r="W43" s="116">
        <v>5.0</v>
      </c>
      <c r="X43" s="1">
        <v>40.0</v>
      </c>
      <c r="Y43" s="104">
        <f>AA43+5</f>
        <v>7.7074</v>
      </c>
      <c r="Z43" s="104">
        <f>AB43</f>
        <v>2.2215</v>
      </c>
      <c r="AA43" s="1">
        <f>AI43+(AR2*AD43)</f>
        <v>2.7074</v>
      </c>
      <c r="AB43" s="1">
        <f>AJ43+(AR2*AE43)</f>
        <v>2.2215</v>
      </c>
      <c r="AD43" s="1">
        <v>0.00868000000000002</v>
      </c>
      <c r="AE43" s="1">
        <v>0.00498000000000003</v>
      </c>
      <c r="AG43" s="68">
        <f>AI43+5</f>
        <v>7.7074</v>
      </c>
      <c r="AH43" s="68">
        <f>AJ43</f>
        <v>2.2215</v>
      </c>
      <c r="AI43" s="1">
        <v>2.7074</v>
      </c>
      <c r="AJ43" s="1">
        <v>2.2215</v>
      </c>
      <c r="AV43" s="103">
        <f>E46</f>
        <v>2.8288</v>
      </c>
      <c r="AW43" s="103">
        <f>F46</f>
        <v>1.9478</v>
      </c>
      <c r="AY43" s="103">
        <f>Y46</f>
        <v>7.8288</v>
      </c>
      <c r="AZ43" s="103">
        <f>Z46</f>
        <v>1.9478</v>
      </c>
    </row>
    <row r="44" spans="8:8" ht="15.0" customHeight="1">
      <c r="A44" s="115">
        <v>5.0</v>
      </c>
      <c r="B44" s="1">
        <v>41.0</v>
      </c>
      <c r="E44" s="107">
        <f>K44+(T2*H44)</f>
        <v>2.7541</v>
      </c>
      <c r="F44" s="107">
        <f>L44+(T2*I44)</f>
        <v>2.1332</v>
      </c>
      <c r="G44" s="102"/>
      <c r="H44" s="102">
        <v>0.00899999999999999</v>
      </c>
      <c r="I44" s="102">
        <v>0.00435999999999996</v>
      </c>
      <c r="K44" s="1">
        <v>2.7541</v>
      </c>
      <c r="L44" s="1">
        <v>2.1332</v>
      </c>
      <c r="W44" s="116">
        <v>5.0</v>
      </c>
      <c r="X44" s="1">
        <v>41.0</v>
      </c>
      <c r="Y44" s="104">
        <f>AA44+5</f>
        <v>7.7541</v>
      </c>
      <c r="Z44" s="104">
        <f>AB44</f>
        <v>2.1332</v>
      </c>
      <c r="AA44" s="1">
        <f>AI44+(AR2*AD44)</f>
        <v>2.7541</v>
      </c>
      <c r="AB44" s="1">
        <f>AJ44+(AR2*AE44)</f>
        <v>2.1332</v>
      </c>
      <c r="AD44" s="1">
        <v>0.00899999999999999</v>
      </c>
      <c r="AE44" s="1">
        <v>0.00435999999999996</v>
      </c>
      <c r="AG44" s="68">
        <f>AI44+5</f>
        <v>7.7541</v>
      </c>
      <c r="AH44" s="68">
        <f>AJ44</f>
        <v>2.1332</v>
      </c>
      <c r="AI44" s="1">
        <v>2.7541</v>
      </c>
      <c r="AJ44" s="1">
        <v>2.1332</v>
      </c>
      <c r="AV44" s="103">
        <f>E47</f>
        <v>2.8564</v>
      </c>
      <c r="AW44" s="103">
        <f>F47</f>
        <v>1.8517</v>
      </c>
      <c r="AY44" s="103">
        <f>Y47</f>
        <v>7.8564</v>
      </c>
      <c r="AZ44" s="103">
        <f>Z47</f>
        <v>1.8517</v>
      </c>
    </row>
    <row r="45" spans="8:8" ht="15.0" customHeight="1">
      <c r="A45" s="119">
        <v>6.0</v>
      </c>
      <c r="B45" s="120">
        <v>42.0</v>
      </c>
      <c r="C45" s="120"/>
      <c r="D45" s="120"/>
      <c r="E45" s="121">
        <f>K45+(U2*H45)</f>
        <v>2.7947</v>
      </c>
      <c r="F45" s="121">
        <f>L45+(U2*I45)</f>
        <v>2.0418</v>
      </c>
      <c r="G45" s="119"/>
      <c r="H45" s="119">
        <v>0.00927999999999996</v>
      </c>
      <c r="I45" s="119">
        <v>0.00372000000000003</v>
      </c>
      <c r="J45" s="120"/>
      <c r="K45" s="120">
        <v>2.7947</v>
      </c>
      <c r="L45" s="120">
        <v>2.0418</v>
      </c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>
        <v>6.0</v>
      </c>
      <c r="X45" s="120">
        <v>42.0</v>
      </c>
      <c r="Y45" s="104">
        <f>AA45+5</f>
        <v>7.794700000000001</v>
      </c>
      <c r="Z45" s="104">
        <f>AB45</f>
        <v>2.0418</v>
      </c>
      <c r="AA45" s="120">
        <f>AI45+(AS2*AD45)</f>
        <v>2.7947</v>
      </c>
      <c r="AB45" s="120">
        <f>AJ45+(AS2*AE45)</f>
        <v>2.0418</v>
      </c>
      <c r="AC45" s="120"/>
      <c r="AD45" s="120">
        <v>0.00927999999999996</v>
      </c>
      <c r="AE45" s="120">
        <v>0.00372000000000003</v>
      </c>
      <c r="AF45" s="120"/>
      <c r="AG45" s="68">
        <f>AI45+5</f>
        <v>7.794700000000001</v>
      </c>
      <c r="AH45" s="68">
        <f>AJ45</f>
        <v>2.0418</v>
      </c>
      <c r="AI45" s="120">
        <v>2.7947</v>
      </c>
      <c r="AJ45" s="120">
        <v>2.0418</v>
      </c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V45" s="103">
        <f>E48</f>
        <v>2.8773</v>
      </c>
      <c r="AW45" s="103">
        <f>F48</f>
        <v>1.7539</v>
      </c>
      <c r="AY45" s="103">
        <f>Y48</f>
        <v>7.8773</v>
      </c>
      <c r="AZ45" s="103">
        <f>Z48</f>
        <v>1.7539</v>
      </c>
    </row>
    <row r="46" spans="8:8" ht="15.0" customHeight="1">
      <c r="A46" s="119">
        <v>6.0</v>
      </c>
      <c r="B46" s="1">
        <v>43.0</v>
      </c>
      <c r="E46" s="107">
        <f>K46+(U2*H46)</f>
        <v>2.8288</v>
      </c>
      <c r="F46" s="107">
        <f>L46+(U2*I46)</f>
        <v>1.9478</v>
      </c>
      <c r="G46" s="102"/>
      <c r="H46" s="102">
        <v>0.00951999999999993</v>
      </c>
      <c r="I46" s="102">
        <v>0.00308000000000002</v>
      </c>
      <c r="K46" s="1">
        <v>2.8288</v>
      </c>
      <c r="L46" s="1">
        <v>1.9478</v>
      </c>
      <c r="W46" s="120">
        <v>6.0</v>
      </c>
      <c r="X46" s="1">
        <v>43.0</v>
      </c>
      <c r="Y46" s="104">
        <f>AA46+5</f>
        <v>7.8288</v>
      </c>
      <c r="Z46" s="104">
        <f>AB46</f>
        <v>1.9478</v>
      </c>
      <c r="AA46" s="1">
        <f>AI46+(AS2*AD46)</f>
        <v>2.8288</v>
      </c>
      <c r="AB46" s="1">
        <f>AJ46+(AS2*AE46)</f>
        <v>1.9478</v>
      </c>
      <c r="AD46" s="1">
        <v>0.00951999999999993</v>
      </c>
      <c r="AE46" s="1">
        <v>0.00308000000000002</v>
      </c>
      <c r="AG46" s="68">
        <f>AI46+5</f>
        <v>7.8288</v>
      </c>
      <c r="AH46" s="68">
        <f>AJ46</f>
        <v>1.9478</v>
      </c>
      <c r="AI46" s="1">
        <v>2.8288</v>
      </c>
      <c r="AJ46" s="1">
        <v>1.9478</v>
      </c>
      <c r="AV46" s="103">
        <f>E49</f>
        <v>2.8914</v>
      </c>
      <c r="AW46" s="103">
        <f>F49</f>
        <v>1.6549</v>
      </c>
      <c r="AY46" s="103">
        <f>Y49</f>
        <v>7.8914</v>
      </c>
      <c r="AZ46" s="103">
        <f>Z49</f>
        <v>1.6549</v>
      </c>
    </row>
    <row r="47" spans="8:8" ht="15.0" customHeight="1">
      <c r="A47" s="119">
        <v>6.0</v>
      </c>
      <c r="B47" s="1">
        <v>44.0</v>
      </c>
      <c r="E47" s="107">
        <f>K47+(U2*H47)</f>
        <v>2.8564</v>
      </c>
      <c r="F47" s="107">
        <f>L47+(U2*I47)</f>
        <v>1.8517</v>
      </c>
      <c r="G47" s="102"/>
      <c r="H47" s="102">
        <v>0.00970000000000004</v>
      </c>
      <c r="I47" s="102">
        <v>0.00242</v>
      </c>
      <c r="K47" s="1">
        <v>2.8564</v>
      </c>
      <c r="L47" s="1">
        <v>1.8517</v>
      </c>
      <c r="W47" s="120">
        <v>6.0</v>
      </c>
      <c r="X47" s="1">
        <v>44.0</v>
      </c>
      <c r="Y47" s="104">
        <f>AA47+5</f>
        <v>7.8564</v>
      </c>
      <c r="Z47" s="104">
        <f>AB47</f>
        <v>1.8517</v>
      </c>
      <c r="AA47" s="1">
        <f>AI47+(AS2*AD47)</f>
        <v>2.8564</v>
      </c>
      <c r="AB47" s="1">
        <f>AJ47+(AS2*AE47)</f>
        <v>1.8517</v>
      </c>
      <c r="AD47" s="1">
        <v>0.00970000000000004</v>
      </c>
      <c r="AE47" s="1">
        <v>0.00242</v>
      </c>
      <c r="AG47" s="68">
        <f>AI47+5</f>
        <v>7.8564</v>
      </c>
      <c r="AH47" s="68">
        <f>AJ47</f>
        <v>1.8517</v>
      </c>
      <c r="AI47" s="1">
        <v>2.8564</v>
      </c>
      <c r="AJ47" s="1">
        <v>1.8517</v>
      </c>
      <c r="AV47" s="103">
        <f>E50</f>
        <v>2.8987</v>
      </c>
      <c r="AW47" s="103">
        <f>F50</f>
        <v>1.5552</v>
      </c>
      <c r="AY47" s="103">
        <f>Y50</f>
        <v>7.8987</v>
      </c>
      <c r="AZ47" s="103">
        <f>Z50</f>
        <v>1.5552</v>
      </c>
    </row>
    <row r="48" spans="8:8" ht="15.0" customHeight="1">
      <c r="A48" s="119">
        <v>6.0</v>
      </c>
      <c r="B48" s="1">
        <v>45.0</v>
      </c>
      <c r="E48" s="107">
        <f>K48+(U2*H48)</f>
        <v>2.8773</v>
      </c>
      <c r="F48" s="107">
        <f>L48+(U2*I48)</f>
        <v>1.7539</v>
      </c>
      <c r="G48" s="102"/>
      <c r="H48" s="102">
        <v>0.00983999999999998</v>
      </c>
      <c r="I48" s="102">
        <v>0.00175999999999998</v>
      </c>
      <c r="K48" s="1">
        <v>2.8773</v>
      </c>
      <c r="L48" s="1">
        <v>1.7539</v>
      </c>
      <c r="W48" s="120">
        <v>6.0</v>
      </c>
      <c r="X48" s="1">
        <v>45.0</v>
      </c>
      <c r="Y48" s="104">
        <f>AA48+5</f>
        <v>7.8773</v>
      </c>
      <c r="Z48" s="104">
        <f>AB48</f>
        <v>1.7539</v>
      </c>
      <c r="AA48" s="1">
        <f>AI48+(AS2*AD48)</f>
        <v>2.8773</v>
      </c>
      <c r="AB48" s="1">
        <f>AJ48+(AS2*AE48)</f>
        <v>1.7539</v>
      </c>
      <c r="AD48" s="1">
        <v>0.00983999999999998</v>
      </c>
      <c r="AE48" s="1">
        <v>0.00175999999999998</v>
      </c>
      <c r="AG48" s="68">
        <f>AI48+5</f>
        <v>7.8773</v>
      </c>
      <c r="AH48" s="68">
        <f>AJ48</f>
        <v>1.7539</v>
      </c>
      <c r="AI48" s="1">
        <v>2.8773</v>
      </c>
      <c r="AJ48" s="1">
        <v>1.7539</v>
      </c>
      <c r="AV48" s="103">
        <f>E51</f>
        <v>2.9</v>
      </c>
      <c r="AW48" s="103">
        <f>F51</f>
        <v>1.5</v>
      </c>
      <c r="AY48" s="103">
        <f>Y51</f>
        <v>7.9</v>
      </c>
      <c r="AZ48" s="103">
        <f>Z51</f>
        <v>1.5</v>
      </c>
    </row>
    <row r="49" spans="8:8" ht="15.0" customHeight="1">
      <c r="A49" s="119">
        <v>6.0</v>
      </c>
      <c r="B49" s="1">
        <v>46.0</v>
      </c>
      <c r="E49" s="107">
        <f>K49+(U2*H49)</f>
        <v>2.8914</v>
      </c>
      <c r="F49" s="107">
        <f>L49+(U2*I49)</f>
        <v>1.6549</v>
      </c>
      <c r="G49" s="102"/>
      <c r="H49" s="102">
        <v>0.00994000000000002</v>
      </c>
      <c r="I49" s="102">
        <v>0.00108000000000001</v>
      </c>
      <c r="K49" s="1">
        <v>2.8914</v>
      </c>
      <c r="L49" s="1">
        <v>1.6549</v>
      </c>
      <c r="W49" s="120">
        <v>6.0</v>
      </c>
      <c r="X49" s="1">
        <v>46.0</v>
      </c>
      <c r="Y49" s="104">
        <f>AA49+5</f>
        <v>7.8914</v>
      </c>
      <c r="Z49" s="104">
        <f>AB49</f>
        <v>1.6549</v>
      </c>
      <c r="AA49" s="1">
        <f>AI49+(AS2*AD49)</f>
        <v>2.8914</v>
      </c>
      <c r="AB49" s="1">
        <f>AJ49+(AS2*AE49)</f>
        <v>1.6549</v>
      </c>
      <c r="AD49" s="1">
        <v>0.00994000000000002</v>
      </c>
      <c r="AE49" s="1">
        <v>0.00108000000000001</v>
      </c>
      <c r="AG49" s="68">
        <f>AI49+5</f>
        <v>7.8914</v>
      </c>
      <c r="AH49" s="68">
        <f>AJ49</f>
        <v>1.6549</v>
      </c>
      <c r="AI49" s="1">
        <v>2.8914</v>
      </c>
      <c r="AJ49" s="1">
        <v>1.6549</v>
      </c>
      <c r="AV49" s="103">
        <f>E52</f>
        <v>2.9</v>
      </c>
      <c r="AW49" s="103">
        <f>F52</f>
        <v>0.0</v>
      </c>
      <c r="AY49" s="103">
        <f>Y52</f>
        <v>7.9</v>
      </c>
      <c r="AZ49" s="103">
        <f>Z52</f>
        <v>0.0</v>
      </c>
    </row>
    <row r="50" spans="8:8" ht="15.0" customHeight="1">
      <c r="A50" s="119">
        <v>6.0</v>
      </c>
      <c r="B50" s="1">
        <v>47.0</v>
      </c>
      <c r="E50" s="107">
        <f>K50+(U2*H50)</f>
        <v>2.8987</v>
      </c>
      <c r="F50" s="107">
        <f>L50+(U2*I50)</f>
        <v>1.5552</v>
      </c>
      <c r="G50" s="102"/>
      <c r="H50" s="102">
        <v>0.00998000000000001</v>
      </c>
      <c r="I50" s="102">
        <v>3.80000000000003E-4</v>
      </c>
      <c r="K50" s="1">
        <v>2.8987</v>
      </c>
      <c r="L50" s="1">
        <v>1.5552</v>
      </c>
      <c r="W50" s="120">
        <v>6.0</v>
      </c>
      <c r="X50" s="1">
        <v>47.0</v>
      </c>
      <c r="Y50" s="104">
        <f>AA50+5</f>
        <v>7.8987</v>
      </c>
      <c r="Z50" s="104">
        <f>AB50</f>
        <v>1.5552</v>
      </c>
      <c r="AA50" s="1">
        <f>AI50+(AS2*AD50)</f>
        <v>2.8987</v>
      </c>
      <c r="AB50" s="1">
        <f>AJ50+(AS2*AE50)</f>
        <v>1.5552</v>
      </c>
      <c r="AD50" s="1">
        <v>0.00998000000000001</v>
      </c>
      <c r="AE50" s="1">
        <v>3.80000000000003E-4</v>
      </c>
      <c r="AG50" s="68">
        <f>AI50+5</f>
        <v>7.8987</v>
      </c>
      <c r="AH50" s="68">
        <f>AJ50</f>
        <v>1.5552</v>
      </c>
      <c r="AI50" s="1">
        <v>2.8987</v>
      </c>
      <c r="AJ50" s="1">
        <v>1.5552</v>
      </c>
      <c r="AV50" s="103">
        <f>E53</f>
        <v>2.9</v>
      </c>
      <c r="AW50" s="103">
        <f>F53</f>
        <v>0.0</v>
      </c>
      <c r="AY50" s="103">
        <f>Y53</f>
        <v>7.9</v>
      </c>
      <c r="AZ50" s="103">
        <f>Z53</f>
        <v>0.0</v>
      </c>
    </row>
    <row r="51" spans="8:8" ht="15.0" customHeight="1">
      <c r="A51" s="115">
        <v>6.0</v>
      </c>
      <c r="B51" s="1">
        <v>48.0</v>
      </c>
      <c r="C51" s="116"/>
      <c r="D51" s="116"/>
      <c r="E51" s="107">
        <f>K51+(U2*H51)</f>
        <v>2.9</v>
      </c>
      <c r="F51" s="107">
        <f>L51+(U2*I51)</f>
        <v>1.5</v>
      </c>
      <c r="G51" s="115"/>
      <c r="H51" s="115">
        <v>0.0100000000000001</v>
      </c>
      <c r="I51" s="115">
        <v>0.0</v>
      </c>
      <c r="J51" s="116"/>
      <c r="K51" s="116">
        <v>2.9</v>
      </c>
      <c r="L51" s="116">
        <v>1.5</v>
      </c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>
        <v>6.0</v>
      </c>
      <c r="X51" s="1">
        <v>48.0</v>
      </c>
      <c r="Y51" s="104">
        <f>AA51+5</f>
        <v>7.9</v>
      </c>
      <c r="Z51" s="104">
        <f>AB51</f>
        <v>1.5</v>
      </c>
      <c r="AA51" s="1">
        <f>AI51+(AS2*AD51)</f>
        <v>2.9</v>
      </c>
      <c r="AB51" s="1">
        <f>AJ51+(AS2*AE51)</f>
        <v>1.5</v>
      </c>
      <c r="AC51" s="116"/>
      <c r="AD51" s="116">
        <v>0.0100000000000001</v>
      </c>
      <c r="AE51" s="116">
        <v>0.0</v>
      </c>
      <c r="AF51" s="116"/>
      <c r="AG51" s="68">
        <f>AI51+5</f>
        <v>7.9</v>
      </c>
      <c r="AH51" s="68">
        <f>AJ51</f>
        <v>1.5</v>
      </c>
      <c r="AI51" s="116">
        <v>2.9</v>
      </c>
      <c r="AJ51" s="116">
        <v>1.5</v>
      </c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V51" s="103">
        <f>E54</f>
        <v>2.9</v>
      </c>
      <c r="AW51" s="103">
        <f>F54</f>
        <v>1.5</v>
      </c>
      <c r="AY51" s="103">
        <f>Y54</f>
        <v>7.9</v>
      </c>
      <c r="AZ51" s="103">
        <f>Z54</f>
        <v>1.5</v>
      </c>
    </row>
    <row r="52" spans="8:8" ht="15.0" customHeight="1">
      <c r="A52" s="115">
        <v>7.0</v>
      </c>
      <c r="B52" s="1">
        <v>49.0</v>
      </c>
      <c r="C52" s="116"/>
      <c r="D52" s="116"/>
      <c r="E52" s="107">
        <f>K52+(V2*H52)</f>
        <v>2.9</v>
      </c>
      <c r="F52" s="107">
        <f>L52+(V2*I52)</f>
        <v>0.0</v>
      </c>
      <c r="G52" s="115"/>
      <c r="H52" s="115">
        <v>0.0100000000000001</v>
      </c>
      <c r="I52" s="115">
        <v>0.0</v>
      </c>
      <c r="J52" s="116"/>
      <c r="K52" s="116">
        <v>2.9</v>
      </c>
      <c r="L52" s="116">
        <v>0.0</v>
      </c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>
        <v>7.0</v>
      </c>
      <c r="X52" s="1">
        <v>49.0</v>
      </c>
      <c r="Y52" s="104">
        <f>AA52+5</f>
        <v>7.9</v>
      </c>
      <c r="Z52" s="104">
        <f>AB52</f>
        <v>0.0</v>
      </c>
      <c r="AA52" s="1">
        <f>AI52+(AT2*AD52)</f>
        <v>2.9</v>
      </c>
      <c r="AB52" s="1">
        <f>AJ52+(AT2*AE52)</f>
        <v>0.0</v>
      </c>
      <c r="AC52" s="116"/>
      <c r="AD52" s="116">
        <v>0.0100000000000001</v>
      </c>
      <c r="AE52" s="116">
        <v>0.0</v>
      </c>
      <c r="AF52" s="116"/>
      <c r="AG52" s="68">
        <f>AI52+5</f>
        <v>7.9</v>
      </c>
      <c r="AH52" s="68">
        <f>AJ52</f>
        <v>0.0</v>
      </c>
      <c r="AI52" s="116">
        <v>2.9</v>
      </c>
      <c r="AJ52" s="116">
        <v>0.0</v>
      </c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V52" s="103">
        <f>E55</f>
        <v>2.8987</v>
      </c>
      <c r="AW52" s="103">
        <f>F55</f>
        <v>1.5552</v>
      </c>
      <c r="AY52" s="103">
        <f>Y55</f>
        <v>7.8987</v>
      </c>
      <c r="AZ52" s="103">
        <f>Z55</f>
        <v>1.5552</v>
      </c>
    </row>
    <row r="53" spans="8:8" ht="15.0" customHeight="1">
      <c r="E53" s="107">
        <v>2.9</v>
      </c>
      <c r="F53" s="107">
        <v>0.0</v>
      </c>
      <c r="G53" s="102"/>
      <c r="H53" s="102"/>
      <c r="I53" s="102"/>
      <c r="Y53" s="104">
        <f>AA53+5</f>
        <v>7.9</v>
      </c>
      <c r="Z53" s="104">
        <f>AB53</f>
        <v>0.0</v>
      </c>
      <c r="AA53" s="1">
        <v>2.9</v>
      </c>
      <c r="AB53" s="1">
        <v>0.0</v>
      </c>
      <c r="AV53" s="103">
        <f>E56</f>
        <v>2.8914</v>
      </c>
      <c r="AW53" s="103">
        <f>F56</f>
        <v>1.6549</v>
      </c>
      <c r="AY53" s="103">
        <f>Y56</f>
        <v>7.8914</v>
      </c>
      <c r="AZ53" s="103">
        <f>Z56</f>
        <v>1.6549</v>
      </c>
    </row>
    <row r="54" spans="8:8" ht="15.0" customHeight="1">
      <c r="E54" s="107">
        <v>2.9</v>
      </c>
      <c r="F54" s="107">
        <v>1.5</v>
      </c>
      <c r="G54" s="102"/>
      <c r="H54" s="102"/>
      <c r="I54" s="102"/>
      <c r="Y54" s="104">
        <f>AA54+5</f>
        <v>7.9</v>
      </c>
      <c r="Z54" s="104">
        <f>AB54</f>
        <v>1.5</v>
      </c>
      <c r="AA54" s="1">
        <v>2.9</v>
      </c>
      <c r="AB54" s="1">
        <v>1.5</v>
      </c>
      <c r="AV54" s="103">
        <f>E57</f>
        <v>2.8773</v>
      </c>
      <c r="AW54" s="103">
        <f>F57</f>
        <v>1.7539</v>
      </c>
      <c r="AY54" s="103">
        <f>Y57</f>
        <v>7.8773</v>
      </c>
      <c r="AZ54" s="103">
        <f>Z57</f>
        <v>1.7539</v>
      </c>
    </row>
    <row r="55" spans="8:8" ht="15.0" customHeight="1">
      <c r="E55" s="107">
        <v>2.8987</v>
      </c>
      <c r="F55" s="107">
        <v>1.5552</v>
      </c>
      <c r="G55" s="102"/>
      <c r="H55" s="102"/>
      <c r="I55" s="102"/>
      <c r="Y55" s="104">
        <f>AA55+5</f>
        <v>7.8987</v>
      </c>
      <c r="Z55" s="104">
        <f>AB55</f>
        <v>1.5552</v>
      </c>
      <c r="AA55" s="1">
        <v>2.8987</v>
      </c>
      <c r="AB55" s="1">
        <v>1.5552</v>
      </c>
      <c r="AV55" s="103">
        <f>E58</f>
        <v>2.8564</v>
      </c>
      <c r="AW55" s="103">
        <f>F58</f>
        <v>1.8517</v>
      </c>
      <c r="AY55" s="103">
        <f>Y58</f>
        <v>7.8564</v>
      </c>
      <c r="AZ55" s="103">
        <f>Z58</f>
        <v>1.8517</v>
      </c>
    </row>
    <row r="56" spans="8:8" ht="15.0" customHeight="1">
      <c r="E56" s="107">
        <v>2.8914</v>
      </c>
      <c r="F56" s="107">
        <v>1.6549</v>
      </c>
      <c r="G56" s="102"/>
      <c r="H56" s="102"/>
      <c r="I56" s="102"/>
      <c r="Y56" s="104">
        <f>AA56+5</f>
        <v>7.8914</v>
      </c>
      <c r="Z56" s="104">
        <f>AB56</f>
        <v>1.6549</v>
      </c>
      <c r="AA56" s="1">
        <v>2.8914</v>
      </c>
      <c r="AB56" s="1">
        <v>1.6549</v>
      </c>
      <c r="AV56" s="103">
        <f>E59</f>
        <v>2.8288</v>
      </c>
      <c r="AW56" s="103">
        <f>F59</f>
        <v>1.9478</v>
      </c>
      <c r="AY56" s="103">
        <f>Y59</f>
        <v>7.8288</v>
      </c>
      <c r="AZ56" s="103">
        <f>Z59</f>
        <v>1.9478</v>
      </c>
    </row>
    <row r="57" spans="8:8" ht="15.0" customHeight="1">
      <c r="E57" s="107">
        <v>2.8773</v>
      </c>
      <c r="F57" s="107">
        <v>1.7539</v>
      </c>
      <c r="G57" s="102"/>
      <c r="H57" s="102"/>
      <c r="I57" s="102"/>
      <c r="Y57" s="104">
        <f>AA57+5</f>
        <v>7.8773</v>
      </c>
      <c r="Z57" s="104">
        <f>AB57</f>
        <v>1.7539</v>
      </c>
      <c r="AA57" s="1">
        <v>2.8773</v>
      </c>
      <c r="AB57" s="1">
        <v>1.7539</v>
      </c>
      <c r="AV57" s="103">
        <f>E60</f>
        <v>2.7947</v>
      </c>
      <c r="AW57" s="103">
        <f>F60</f>
        <v>2.0418</v>
      </c>
      <c r="AY57" s="103">
        <f>Y60</f>
        <v>7.794700000000001</v>
      </c>
      <c r="AZ57" s="103">
        <f>Z60</f>
        <v>2.0418</v>
      </c>
    </row>
    <row r="58" spans="8:8" ht="15.0" customHeight="1">
      <c r="E58" s="107">
        <v>2.8564</v>
      </c>
      <c r="F58" s="107">
        <v>1.8517</v>
      </c>
      <c r="G58" s="102"/>
      <c r="H58" s="102"/>
      <c r="I58" s="102"/>
      <c r="Y58" s="104">
        <f>AA58+5</f>
        <v>7.8564</v>
      </c>
      <c r="Z58" s="104">
        <f>AB58</f>
        <v>1.8517</v>
      </c>
      <c r="AA58" s="1">
        <v>2.8564</v>
      </c>
      <c r="AB58" s="1">
        <v>1.8517</v>
      </c>
      <c r="AV58" s="103">
        <f>E61</f>
        <v>2.7541</v>
      </c>
      <c r="AW58" s="103">
        <f>F61</f>
        <v>2.1332</v>
      </c>
      <c r="AY58" s="103">
        <f>Y61</f>
        <v>7.7541</v>
      </c>
      <c r="AZ58" s="103">
        <f>Z61</f>
        <v>2.1332</v>
      </c>
    </row>
    <row r="59" spans="8:8" ht="15.0" customHeight="1">
      <c r="E59" s="107">
        <v>2.8288</v>
      </c>
      <c r="F59" s="107">
        <v>1.9478</v>
      </c>
      <c r="G59" s="102"/>
      <c r="H59" s="102"/>
      <c r="I59" s="102"/>
      <c r="Y59" s="104">
        <f>AA59+5</f>
        <v>7.8288</v>
      </c>
      <c r="Z59" s="104">
        <f>AB59</f>
        <v>1.9478</v>
      </c>
      <c r="AA59" s="1">
        <v>2.8288</v>
      </c>
      <c r="AB59" s="1">
        <v>1.9478</v>
      </c>
      <c r="AV59" s="103">
        <f>E62</f>
        <v>2.7074</v>
      </c>
      <c r="AW59" s="103">
        <f>F62</f>
        <v>2.2215</v>
      </c>
      <c r="AY59" s="103">
        <f>Y62</f>
        <v>7.7074</v>
      </c>
      <c r="AZ59" s="103">
        <f>Z62</f>
        <v>2.2215</v>
      </c>
    </row>
    <row r="60" spans="8:8" ht="15.0" customHeight="1">
      <c r="E60" s="107">
        <v>2.7947</v>
      </c>
      <c r="F60" s="107">
        <v>2.0418</v>
      </c>
      <c r="G60" s="102"/>
      <c r="H60" s="102"/>
      <c r="I60" s="102"/>
      <c r="Y60" s="104">
        <f>AA60+5</f>
        <v>7.794700000000001</v>
      </c>
      <c r="Z60" s="104">
        <f>AB60</f>
        <v>2.0418</v>
      </c>
      <c r="AA60" s="1">
        <v>2.7947</v>
      </c>
      <c r="AB60" s="1">
        <v>2.0418</v>
      </c>
      <c r="AV60" s="103">
        <f>E63</f>
        <v>2.6547</v>
      </c>
      <c r="AW60" s="103">
        <f>F63</f>
        <v>2.3065</v>
      </c>
      <c r="AY60" s="103">
        <f>Y63</f>
        <v>7.6547</v>
      </c>
      <c r="AZ60" s="103">
        <f>Z63</f>
        <v>2.3065</v>
      </c>
    </row>
    <row r="61" spans="8:8" ht="15.0" customHeight="1">
      <c r="E61" s="107">
        <v>2.7541</v>
      </c>
      <c r="F61" s="107">
        <v>2.1332</v>
      </c>
      <c r="G61" s="102"/>
      <c r="H61" s="102"/>
      <c r="I61" s="102"/>
      <c r="Y61" s="104">
        <f>AA61+5</f>
        <v>7.7541</v>
      </c>
      <c r="Z61" s="104">
        <f>AB61</f>
        <v>2.1332</v>
      </c>
      <c r="AA61" s="1">
        <v>2.7541</v>
      </c>
      <c r="AB61" s="1">
        <v>2.1332</v>
      </c>
      <c r="AV61" s="103">
        <f>E64</f>
        <v>2.5962</v>
      </c>
      <c r="AW61" s="103">
        <f>F64</f>
        <v>2.3876</v>
      </c>
      <c r="AY61" s="103">
        <f>Y64</f>
        <v>7.5962</v>
      </c>
      <c r="AZ61" s="103">
        <f>Z64</f>
        <v>2.3876</v>
      </c>
    </row>
    <row r="62" spans="8:8" ht="15.0" customHeight="1">
      <c r="E62" s="107">
        <v>2.7074</v>
      </c>
      <c r="F62" s="107">
        <v>2.2215</v>
      </c>
      <c r="G62" s="102"/>
      <c r="H62" s="102"/>
      <c r="I62" s="102"/>
      <c r="Y62" s="104">
        <f>AA62+5</f>
        <v>7.7074</v>
      </c>
      <c r="Z62" s="104">
        <f>AB62</f>
        <v>2.2215</v>
      </c>
      <c r="AA62" s="1">
        <v>2.7074</v>
      </c>
      <c r="AB62" s="1">
        <v>2.2215</v>
      </c>
      <c r="AV62" s="103">
        <f>E65</f>
        <v>2.5323</v>
      </c>
      <c r="AW62" s="103">
        <f>F65</f>
        <v>2.4645</v>
      </c>
      <c r="AY62" s="103">
        <f>Y65</f>
        <v>7.5323</v>
      </c>
      <c r="AZ62" s="103">
        <f>Z65</f>
        <v>2.4645</v>
      </c>
    </row>
    <row r="63" spans="8:8" ht="15.0" customHeight="1">
      <c r="E63" s="107">
        <v>2.6547</v>
      </c>
      <c r="F63" s="107">
        <v>2.3065</v>
      </c>
      <c r="G63" s="102"/>
      <c r="H63" s="102"/>
      <c r="I63" s="102"/>
      <c r="Y63" s="104">
        <f>AA63+5</f>
        <v>7.6547</v>
      </c>
      <c r="Z63" s="104">
        <f>AB63</f>
        <v>2.3065</v>
      </c>
      <c r="AA63" s="1">
        <v>2.6547</v>
      </c>
      <c r="AB63" s="1">
        <v>2.3065</v>
      </c>
      <c r="AV63" s="103">
        <f>E66</f>
        <v>2.4633</v>
      </c>
      <c r="AW63" s="103">
        <f>F66</f>
        <v>2.5368</v>
      </c>
      <c r="AY63" s="103">
        <f>Y66</f>
        <v>7.4633</v>
      </c>
      <c r="AZ63" s="103">
        <f>Z66</f>
        <v>2.5368</v>
      </c>
    </row>
    <row r="64" spans="8:8" ht="15.0" customHeight="1">
      <c r="E64" s="107">
        <v>2.5962</v>
      </c>
      <c r="F64" s="107">
        <v>2.3876</v>
      </c>
      <c r="G64" s="102"/>
      <c r="H64" s="102"/>
      <c r="I64" s="102"/>
      <c r="Y64" s="104">
        <f>AA64+5</f>
        <v>7.5962</v>
      </c>
      <c r="Z64" s="104">
        <f>AB64</f>
        <v>2.3876</v>
      </c>
      <c r="AA64" s="1">
        <v>2.5962</v>
      </c>
      <c r="AB64" s="1">
        <v>2.3876</v>
      </c>
      <c r="AV64" s="103">
        <f>E67</f>
        <v>2.3894</v>
      </c>
      <c r="AW64" s="103">
        <f>F67</f>
        <v>2.6042</v>
      </c>
      <c r="AY64" s="103">
        <f>Y67</f>
        <v>7.3894</v>
      </c>
      <c r="AZ64" s="103">
        <f>Z67</f>
        <v>2.6042</v>
      </c>
    </row>
    <row r="65" spans="8:8" ht="15.0" customHeight="1">
      <c r="E65" s="107">
        <v>2.5323</v>
      </c>
      <c r="F65" s="107">
        <v>2.4645</v>
      </c>
      <c r="G65" s="102"/>
      <c r="H65" s="102"/>
      <c r="I65" s="102"/>
      <c r="Y65" s="104">
        <f>AA65+5</f>
        <v>7.5323</v>
      </c>
      <c r="Z65" s="104">
        <f>AB65</f>
        <v>2.4645</v>
      </c>
      <c r="AA65" s="1">
        <v>2.5323</v>
      </c>
      <c r="AB65" s="1">
        <v>2.4645</v>
      </c>
      <c r="AV65" s="103">
        <f>E68</f>
        <v>2.3111</v>
      </c>
      <c r="AW65" s="103">
        <f>F68</f>
        <v>2.6663</v>
      </c>
      <c r="AY65" s="103">
        <f>Y68</f>
        <v>7.3111</v>
      </c>
      <c r="AZ65" s="103">
        <f>Z68</f>
        <v>2.6663</v>
      </c>
    </row>
    <row r="66" spans="8:8" ht="15.0" customHeight="1">
      <c r="E66" s="107">
        <v>2.4633</v>
      </c>
      <c r="F66" s="107">
        <v>2.5368</v>
      </c>
      <c r="G66" s="102"/>
      <c r="H66" s="102"/>
      <c r="I66" s="102"/>
      <c r="Y66" s="104">
        <f>AA66+5</f>
        <v>7.4633</v>
      </c>
      <c r="Z66" s="104">
        <f>AB66</f>
        <v>2.5368</v>
      </c>
      <c r="AA66" s="1">
        <v>2.4633</v>
      </c>
      <c r="AB66" s="1">
        <v>2.5368</v>
      </c>
      <c r="AV66" s="103">
        <f>E69</f>
        <v>2.2287</v>
      </c>
      <c r="AW66" s="103">
        <f>F69</f>
        <v>2.7229</v>
      </c>
      <c r="AY66" s="103">
        <f>Y69</f>
        <v>7.2287</v>
      </c>
      <c r="AZ66" s="103">
        <f>Z69</f>
        <v>2.7229</v>
      </c>
    </row>
    <row r="67" spans="8:8" ht="15.0" customHeight="1">
      <c r="E67" s="107">
        <v>2.3894</v>
      </c>
      <c r="F67" s="107">
        <v>2.6042</v>
      </c>
      <c r="G67" s="102"/>
      <c r="H67" s="102"/>
      <c r="I67" s="102"/>
      <c r="Y67" s="104">
        <f>AA67+5</f>
        <v>7.3894</v>
      </c>
      <c r="Z67" s="104">
        <f>AB67</f>
        <v>2.6042</v>
      </c>
      <c r="AA67" s="1">
        <v>2.3894</v>
      </c>
      <c r="AB67" s="1">
        <v>2.6042</v>
      </c>
      <c r="AV67" s="103">
        <f>E70</f>
        <v>2.1426</v>
      </c>
      <c r="AW67" s="103">
        <f>F70</f>
        <v>2.7737</v>
      </c>
      <c r="AY67" s="103">
        <f>Y70</f>
        <v>7.1426</v>
      </c>
      <c r="AZ67" s="103">
        <f>Z70</f>
        <v>2.7737</v>
      </c>
    </row>
    <row r="68" spans="8:8" ht="15.0" customHeight="1">
      <c r="E68" s="107">
        <v>2.3111</v>
      </c>
      <c r="F68" s="107">
        <v>2.6663</v>
      </c>
      <c r="G68" s="102"/>
      <c r="H68" s="102"/>
      <c r="I68" s="102"/>
      <c r="Y68" s="104">
        <f>AA68+5</f>
        <v>7.3111</v>
      </c>
      <c r="Z68" s="104">
        <f>AB68</f>
        <v>2.6663</v>
      </c>
      <c r="AA68" s="1">
        <v>2.3111</v>
      </c>
      <c r="AB68" s="1">
        <v>2.6663</v>
      </c>
      <c r="AV68" s="103">
        <f>E71</f>
        <v>2.0531</v>
      </c>
      <c r="AW68" s="103">
        <f>F71</f>
        <v>2.8184</v>
      </c>
      <c r="AY68" s="103">
        <f>Y71</f>
        <v>7.053100000000001</v>
      </c>
      <c r="AZ68" s="103">
        <f>Z71</f>
        <v>2.8184</v>
      </c>
    </row>
    <row r="69" spans="8:8" ht="15.0" customHeight="1">
      <c r="E69" s="107">
        <v>2.2287</v>
      </c>
      <c r="F69" s="107">
        <v>2.7229</v>
      </c>
      <c r="G69" s="102"/>
      <c r="H69" s="102"/>
      <c r="I69" s="102"/>
      <c r="Y69" s="104">
        <f>AA69+5</f>
        <v>7.2287</v>
      </c>
      <c r="Z69" s="104">
        <f>AB69</f>
        <v>2.7229</v>
      </c>
      <c r="AA69" s="1">
        <v>2.2287</v>
      </c>
      <c r="AB69" s="1">
        <v>2.7229</v>
      </c>
      <c r="AV69" s="103">
        <f>E72</f>
        <v>1.9608</v>
      </c>
      <c r="AW69" s="103">
        <f>F72</f>
        <v>2.8569</v>
      </c>
      <c r="AY69" s="103">
        <f>Y72</f>
        <v>6.9608</v>
      </c>
      <c r="AZ69" s="103">
        <f>Z72</f>
        <v>2.8569</v>
      </c>
    </row>
    <row r="70" spans="8:8" ht="15.0" customHeight="1">
      <c r="E70" s="107">
        <v>2.1426</v>
      </c>
      <c r="F70" s="107">
        <v>2.7737</v>
      </c>
      <c r="G70" s="102"/>
      <c r="H70" s="102"/>
      <c r="I70" s="102"/>
      <c r="Y70" s="104">
        <f>AA70+5</f>
        <v>7.1426</v>
      </c>
      <c r="Z70" s="104">
        <f>AB70</f>
        <v>2.7737</v>
      </c>
      <c r="AA70" s="1">
        <v>2.1426</v>
      </c>
      <c r="AB70" s="1">
        <v>2.7737</v>
      </c>
      <c r="AV70" s="103">
        <f>E73</f>
        <v>1.8661</v>
      </c>
      <c r="AW70" s="103">
        <f>F73</f>
        <v>2.8888</v>
      </c>
      <c r="AY70" s="103">
        <f>Y73</f>
        <v>6.8661</v>
      </c>
      <c r="AZ70" s="103">
        <f>Z73</f>
        <v>2.8888</v>
      </c>
    </row>
    <row r="71" spans="8:8" ht="15.0" customHeight="1">
      <c r="E71" s="107">
        <v>2.0531</v>
      </c>
      <c r="F71" s="107">
        <v>2.8184</v>
      </c>
      <c r="G71" s="102"/>
      <c r="H71" s="102"/>
      <c r="I71" s="102"/>
      <c r="Y71" s="104">
        <f>AA71+5</f>
        <v>7.053100000000001</v>
      </c>
      <c r="Z71" s="104">
        <f>AB71</f>
        <v>2.8184</v>
      </c>
      <c r="AA71" s="1">
        <v>2.0531</v>
      </c>
      <c r="AB71" s="1">
        <v>2.8184</v>
      </c>
      <c r="AV71" s="103">
        <f>E74</f>
        <v>1.7694</v>
      </c>
      <c r="AW71" s="103">
        <f>F74</f>
        <v>2.9142</v>
      </c>
      <c r="AY71" s="103">
        <f>Y74</f>
        <v>6.7694</v>
      </c>
      <c r="AZ71" s="103">
        <f>Z74</f>
        <v>2.9142</v>
      </c>
    </row>
    <row r="72" spans="8:8" ht="15.0" customHeight="1">
      <c r="E72" s="107">
        <v>1.9608</v>
      </c>
      <c r="F72" s="107">
        <v>2.8569</v>
      </c>
      <c r="G72" s="102"/>
      <c r="H72" s="102"/>
      <c r="I72" s="102"/>
      <c r="Y72" s="104">
        <f>AA72+5</f>
        <v>6.9608</v>
      </c>
      <c r="Z72" s="104">
        <f>AB72</f>
        <v>2.8569</v>
      </c>
      <c r="AA72" s="1">
        <v>1.9608</v>
      </c>
      <c r="AB72" s="1">
        <v>2.8569</v>
      </c>
      <c r="AV72" s="103">
        <f>E75</f>
        <v>1.6712</v>
      </c>
      <c r="AW72" s="103">
        <f>F75</f>
        <v>2.9329</v>
      </c>
      <c r="AY72" s="103">
        <f>Y75</f>
        <v>6.6712</v>
      </c>
      <c r="AZ72" s="103">
        <f>Z75</f>
        <v>2.9329</v>
      </c>
    </row>
    <row r="73" spans="8:8" ht="15.0" customHeight="1">
      <c r="E73" s="107">
        <v>1.8661</v>
      </c>
      <c r="F73" s="107">
        <v>2.8888</v>
      </c>
      <c r="G73" s="102"/>
      <c r="H73" s="102"/>
      <c r="I73" s="102"/>
      <c r="Y73" s="104">
        <f>AA73+5</f>
        <v>6.8661</v>
      </c>
      <c r="Z73" s="104">
        <f>AB73</f>
        <v>2.8888</v>
      </c>
      <c r="AA73" s="1">
        <v>1.8661</v>
      </c>
      <c r="AB73" s="1">
        <v>2.8888</v>
      </c>
      <c r="AV73" s="103">
        <f>E76</f>
        <v>1.5719</v>
      </c>
      <c r="AW73" s="103">
        <f>F76</f>
        <v>2.9448</v>
      </c>
      <c r="AY73" s="103">
        <f>Y76</f>
        <v>6.5719</v>
      </c>
      <c r="AZ73" s="103">
        <f>Z76</f>
        <v>2.9448</v>
      </c>
    </row>
    <row r="74" spans="8:8" ht="15.0" customHeight="1">
      <c r="E74" s="107">
        <v>1.7694</v>
      </c>
      <c r="F74" s="107">
        <v>2.9142</v>
      </c>
      <c r="G74" s="102"/>
      <c r="H74" s="102"/>
      <c r="I74" s="102"/>
      <c r="Y74" s="104">
        <f>AA74+5</f>
        <v>6.7694</v>
      </c>
      <c r="Z74" s="104">
        <f>AB74</f>
        <v>2.9142</v>
      </c>
      <c r="AA74" s="1">
        <v>1.7694</v>
      </c>
      <c r="AB74" s="1">
        <v>2.9142</v>
      </c>
      <c r="AV74" s="103">
        <f>E77</f>
        <v>1.4721</v>
      </c>
      <c r="AW74" s="103">
        <f>F77</f>
        <v>2.9498</v>
      </c>
      <c r="AY74" s="103">
        <f>Y77</f>
        <v>6.4721</v>
      </c>
      <c r="AZ74" s="103">
        <f>Z77</f>
        <v>2.9498</v>
      </c>
    </row>
    <row r="75" spans="8:8" ht="15.0" customHeight="1">
      <c r="E75" s="107">
        <v>1.6712</v>
      </c>
      <c r="F75" s="107">
        <v>2.9329</v>
      </c>
      <c r="G75" s="102"/>
      <c r="H75" s="102"/>
      <c r="I75" s="102"/>
      <c r="Y75" s="104">
        <f>AA75+5</f>
        <v>6.6712</v>
      </c>
      <c r="Z75" s="104">
        <f>AB75</f>
        <v>2.9329</v>
      </c>
      <c r="AA75" s="1">
        <v>1.6712</v>
      </c>
      <c r="AB75" s="1">
        <v>2.9329</v>
      </c>
      <c r="AV75" s="103">
        <f>E78</f>
        <v>1.3721</v>
      </c>
      <c r="AW75" s="103">
        <f>F78</f>
        <v>2.9478</v>
      </c>
      <c r="AY75" s="103">
        <f>Y78</f>
        <v>6.3721</v>
      </c>
      <c r="AZ75" s="103">
        <f>Z78</f>
        <v>2.9478</v>
      </c>
    </row>
    <row r="76" spans="8:8" ht="15.0" customHeight="1">
      <c r="E76" s="107">
        <v>1.5719</v>
      </c>
      <c r="F76" s="107">
        <v>2.9448</v>
      </c>
      <c r="G76" s="102"/>
      <c r="H76" s="102"/>
      <c r="I76" s="102"/>
      <c r="Y76" s="104">
        <f>AA76+5</f>
        <v>6.5719</v>
      </c>
      <c r="Z76" s="104">
        <f>AB76</f>
        <v>2.9448</v>
      </c>
      <c r="AA76" s="1">
        <v>1.5719</v>
      </c>
      <c r="AB76" s="1">
        <v>2.9448</v>
      </c>
      <c r="AV76" s="103">
        <f>E79</f>
        <v>1.2725</v>
      </c>
      <c r="AW76" s="103">
        <f>F79</f>
        <v>2.9391</v>
      </c>
      <c r="AY76" s="103">
        <f>Y79</f>
        <v>6.2725</v>
      </c>
      <c r="AZ76" s="103">
        <f>Z79</f>
        <v>2.9391</v>
      </c>
    </row>
    <row r="77" spans="8:8" ht="15.0" customHeight="1">
      <c r="E77" s="107">
        <v>1.4721</v>
      </c>
      <c r="F77" s="107">
        <v>2.9498</v>
      </c>
      <c r="G77" s="102"/>
      <c r="H77" s="102"/>
      <c r="I77" s="102"/>
      <c r="Y77" s="104">
        <f>AA77+5</f>
        <v>6.4721</v>
      </c>
      <c r="Z77" s="104">
        <f>AB77</f>
        <v>2.9498</v>
      </c>
      <c r="AA77" s="1">
        <v>1.4721</v>
      </c>
      <c r="AB77" s="1">
        <v>2.9498</v>
      </c>
      <c r="AV77" s="103">
        <f>E80</f>
        <v>1.1738</v>
      </c>
      <c r="AW77" s="103">
        <f>F80</f>
        <v>2.9234</v>
      </c>
      <c r="AY77" s="103">
        <f>Y80</f>
        <v>6.1738</v>
      </c>
      <c r="AZ77" s="103">
        <f>Z80</f>
        <v>2.9234</v>
      </c>
    </row>
    <row r="78" spans="8:8" ht="15.0" customHeight="1">
      <c r="E78" s="107">
        <v>1.3721</v>
      </c>
      <c r="F78" s="107">
        <v>2.9478</v>
      </c>
      <c r="G78" s="102"/>
      <c r="H78" s="102"/>
      <c r="I78" s="102"/>
      <c r="Y78" s="104">
        <f>AA78+5</f>
        <v>6.3721</v>
      </c>
      <c r="Z78" s="104">
        <f>AB78</f>
        <v>2.9478</v>
      </c>
      <c r="AA78" s="1">
        <v>1.3721</v>
      </c>
      <c r="AB78" s="1">
        <v>2.9478</v>
      </c>
      <c r="AV78" s="103">
        <f>E81</f>
        <v>1.0763</v>
      </c>
      <c r="AW78" s="103">
        <f>F81</f>
        <v>2.901</v>
      </c>
      <c r="AY78" s="103">
        <f>Y81</f>
        <v>6.0763</v>
      </c>
      <c r="AZ78" s="103">
        <f>Z81</f>
        <v>2.901</v>
      </c>
    </row>
    <row r="79" spans="8:8" ht="15.0" customHeight="1">
      <c r="E79" s="107">
        <v>1.2725</v>
      </c>
      <c r="F79" s="107">
        <v>2.9391</v>
      </c>
      <c r="G79" s="102"/>
      <c r="H79" s="102"/>
      <c r="I79" s="102"/>
      <c r="Y79" s="104">
        <f>AA79+5</f>
        <v>6.2725</v>
      </c>
      <c r="Z79" s="104">
        <f>AB79</f>
        <v>2.9391</v>
      </c>
      <c r="AA79" s="1">
        <v>1.2725</v>
      </c>
      <c r="AB79" s="1">
        <v>2.9391</v>
      </c>
      <c r="AV79" s="103">
        <f>E82</f>
        <v>0.9807</v>
      </c>
      <c r="AW79" s="103">
        <f>F82</f>
        <v>2.872</v>
      </c>
      <c r="AY79" s="103">
        <f>Y82</f>
        <v>5.9807</v>
      </c>
      <c r="AZ79" s="103">
        <f>Z82</f>
        <v>2.872</v>
      </c>
    </row>
    <row r="80" spans="8:8" ht="15.0" customHeight="1">
      <c r="E80" s="107">
        <v>1.1738</v>
      </c>
      <c r="F80" s="107">
        <v>2.9234</v>
      </c>
      <c r="G80" s="102"/>
      <c r="H80" s="102"/>
      <c r="I80" s="102"/>
      <c r="Y80" s="104">
        <f>AA80+5</f>
        <v>6.1738</v>
      </c>
      <c r="Z80" s="104">
        <f>AB80</f>
        <v>2.9234</v>
      </c>
      <c r="AA80" s="1">
        <v>1.1738</v>
      </c>
      <c r="AB80" s="1">
        <v>2.9234</v>
      </c>
      <c r="AV80" s="103">
        <f>E83</f>
        <v>0.8872</v>
      </c>
      <c r="AW80" s="103">
        <f>F83</f>
        <v>2.8364</v>
      </c>
      <c r="AY80" s="103">
        <f>Y83</f>
        <v>5.8872</v>
      </c>
      <c r="AZ80" s="103">
        <f>Z83</f>
        <v>2.8364</v>
      </c>
    </row>
    <row r="81" spans="8:8" ht="15.0" customHeight="1">
      <c r="E81" s="107">
        <v>1.0763</v>
      </c>
      <c r="F81" s="107">
        <v>2.901</v>
      </c>
      <c r="G81" s="102"/>
      <c r="H81" s="102"/>
      <c r="I81" s="102"/>
      <c r="Y81" s="104">
        <f>AA81+5</f>
        <v>6.0763</v>
      </c>
      <c r="Z81" s="104">
        <f>AB81</f>
        <v>2.901</v>
      </c>
      <c r="AA81" s="1">
        <v>1.0763</v>
      </c>
      <c r="AB81" s="1">
        <v>2.901</v>
      </c>
      <c r="AV81" s="103">
        <f>E84</f>
        <v>0.7965</v>
      </c>
      <c r="AW81" s="103">
        <f>F84</f>
        <v>2.7944</v>
      </c>
      <c r="AY81" s="103">
        <f>Y84</f>
        <v>5.7965</v>
      </c>
      <c r="AZ81" s="103">
        <f>Z84</f>
        <v>2.7944</v>
      </c>
    </row>
    <row r="82" spans="8:8" ht="15.0" customHeight="1">
      <c r="E82" s="107">
        <v>0.9807</v>
      </c>
      <c r="F82" s="107">
        <v>2.872</v>
      </c>
      <c r="G82" s="102"/>
      <c r="H82" s="102"/>
      <c r="I82" s="102"/>
      <c r="Y82" s="104">
        <f>AA82+5</f>
        <v>5.9807</v>
      </c>
      <c r="Z82" s="104">
        <f>AB82</f>
        <v>2.872</v>
      </c>
      <c r="AA82" s="1">
        <v>0.9807</v>
      </c>
      <c r="AB82" s="1">
        <v>2.872</v>
      </c>
      <c r="AV82" s="103">
        <f>E85</f>
        <v>0.7088</v>
      </c>
      <c r="AW82" s="103">
        <f>F85</f>
        <v>2.7463</v>
      </c>
      <c r="AY82" s="103">
        <f>Y85</f>
        <v>5.7088</v>
      </c>
      <c r="AZ82" s="103">
        <f>Z85</f>
        <v>2.7463</v>
      </c>
    </row>
    <row r="83" spans="8:8" ht="15.0" customHeight="1">
      <c r="E83" s="107">
        <v>0.8872</v>
      </c>
      <c r="F83" s="107">
        <v>2.8364</v>
      </c>
      <c r="G83" s="102"/>
      <c r="H83" s="102"/>
      <c r="I83" s="102"/>
      <c r="Y83" s="104">
        <f>AA83+5</f>
        <v>5.8872</v>
      </c>
      <c r="Z83" s="104">
        <f>AB83</f>
        <v>2.8364</v>
      </c>
      <c r="AA83" s="1">
        <v>0.8872</v>
      </c>
      <c r="AB83" s="1">
        <v>2.8364</v>
      </c>
      <c r="AV83" s="103">
        <f>E86</f>
        <v>0.6247</v>
      </c>
      <c r="AW83" s="103">
        <f>F86</f>
        <v>2.6923</v>
      </c>
      <c r="AY83" s="103">
        <f>Y86</f>
        <v>5.6247</v>
      </c>
      <c r="AZ83" s="103">
        <f>Z86</f>
        <v>2.6923</v>
      </c>
    </row>
    <row r="84" spans="8:8" ht="15.0" customHeight="1">
      <c r="E84" s="107">
        <v>0.7965</v>
      </c>
      <c r="F84" s="107">
        <v>2.7944</v>
      </c>
      <c r="G84" s="102"/>
      <c r="H84" s="102"/>
      <c r="I84" s="102"/>
      <c r="Y84" s="104">
        <f>AA84+5</f>
        <v>5.7965</v>
      </c>
      <c r="Z84" s="104">
        <f>AB84</f>
        <v>2.7944</v>
      </c>
      <c r="AA84" s="1">
        <v>0.7965</v>
      </c>
      <c r="AB84" s="1">
        <v>2.7944</v>
      </c>
      <c r="AV84" s="103">
        <f>E87</f>
        <v>0.5445</v>
      </c>
      <c r="AW84" s="103">
        <f>F87</f>
        <v>2.6326</v>
      </c>
      <c r="AY84" s="103">
        <f>Y87</f>
        <v>5.5445</v>
      </c>
      <c r="AZ84" s="103">
        <f>Z87</f>
        <v>2.6326</v>
      </c>
    </row>
    <row r="85" spans="8:8" ht="15.0" customHeight="1">
      <c r="E85" s="107">
        <v>0.7088</v>
      </c>
      <c r="F85" s="107">
        <v>2.7463</v>
      </c>
      <c r="G85" s="102"/>
      <c r="H85" s="102"/>
      <c r="I85" s="102"/>
      <c r="Y85" s="104">
        <f>AA85+5</f>
        <v>5.7088</v>
      </c>
      <c r="Z85" s="104">
        <f>AB85</f>
        <v>2.7463</v>
      </c>
      <c r="AA85" s="1">
        <v>0.7088</v>
      </c>
      <c r="AB85" s="1">
        <v>2.7463</v>
      </c>
      <c r="AV85" s="103">
        <f>E88</f>
        <v>0.4686</v>
      </c>
      <c r="AW85" s="103">
        <f>F88</f>
        <v>2.5676</v>
      </c>
      <c r="AY85" s="103">
        <f>Y88</f>
        <v>5.4686</v>
      </c>
      <c r="AZ85" s="103">
        <f>Z88</f>
        <v>2.5676</v>
      </c>
    </row>
    <row r="86" spans="8:8" ht="15.0" customHeight="1">
      <c r="E86" s="107">
        <v>0.6247</v>
      </c>
      <c r="F86" s="107">
        <v>2.6923</v>
      </c>
      <c r="G86" s="102"/>
      <c r="H86" s="102"/>
      <c r="I86" s="102"/>
      <c r="Y86" s="104">
        <f>AA86+5</f>
        <v>5.6247</v>
      </c>
      <c r="Z86" s="104">
        <f>AB86</f>
        <v>2.6923</v>
      </c>
      <c r="AA86" s="1">
        <v>0.6247</v>
      </c>
      <c r="AB86" s="1">
        <v>2.6923</v>
      </c>
      <c r="AV86" s="103">
        <f>E89</f>
        <v>0.3973</v>
      </c>
      <c r="AW86" s="103">
        <f>F89</f>
        <v>2.4974</v>
      </c>
      <c r="AY86" s="103">
        <f>Y89</f>
        <v>5.3972999999999995</v>
      </c>
      <c r="AZ86" s="103">
        <f>Z89</f>
        <v>2.4974</v>
      </c>
    </row>
    <row r="87" spans="8:8" ht="15.0" customHeight="1">
      <c r="E87" s="107">
        <v>0.5445</v>
      </c>
      <c r="F87" s="107">
        <v>2.6326</v>
      </c>
      <c r="G87" s="102"/>
      <c r="H87" s="102"/>
      <c r="I87" s="102"/>
      <c r="Y87" s="104">
        <f>AA87+5</f>
        <v>5.5445</v>
      </c>
      <c r="Z87" s="104">
        <f>AB87</f>
        <v>2.6326</v>
      </c>
      <c r="AA87" s="1">
        <v>0.5445</v>
      </c>
      <c r="AB87" s="1">
        <v>2.6326</v>
      </c>
      <c r="AV87" s="103">
        <f>E90</f>
        <v>0.3311</v>
      </c>
      <c r="AW87" s="103">
        <f>F90</f>
        <v>2.4225</v>
      </c>
      <c r="AY87" s="103">
        <f>Y90</f>
        <v>5.3311</v>
      </c>
      <c r="AZ87" s="103">
        <f>Z90</f>
        <v>2.4225</v>
      </c>
    </row>
    <row r="88" spans="8:8" ht="15.0" customHeight="1">
      <c r="E88" s="107">
        <v>0.4686</v>
      </c>
      <c r="F88" s="107">
        <v>2.5676</v>
      </c>
      <c r="G88" s="102"/>
      <c r="H88" s="102"/>
      <c r="I88" s="102"/>
      <c r="Y88" s="104">
        <f>AA88+5</f>
        <v>5.4686</v>
      </c>
      <c r="Z88" s="104">
        <f>AB88</f>
        <v>2.5676</v>
      </c>
      <c r="AA88" s="1">
        <v>0.4686</v>
      </c>
      <c r="AB88" s="1">
        <v>2.5676</v>
      </c>
      <c r="AV88" s="103">
        <f>E91</f>
        <v>0.2702</v>
      </c>
      <c r="AW88" s="103">
        <f>F91</f>
        <v>2.3432</v>
      </c>
      <c r="AY88" s="103">
        <f>Y91</f>
        <v>5.2702</v>
      </c>
      <c r="AZ88" s="103">
        <f>Z91</f>
        <v>2.3432</v>
      </c>
    </row>
    <row r="89" spans="8:8" ht="15.0" customHeight="1">
      <c r="E89" s="107">
        <v>0.3973</v>
      </c>
      <c r="F89" s="107">
        <v>2.4974</v>
      </c>
      <c r="G89" s="102"/>
      <c r="H89" s="102"/>
      <c r="I89" s="102"/>
      <c r="Y89" s="104">
        <f>AA89+5</f>
        <v>5.3972999999999995</v>
      </c>
      <c r="Z89" s="104">
        <f>AB89</f>
        <v>2.4974</v>
      </c>
      <c r="AA89" s="1">
        <v>0.3973</v>
      </c>
      <c r="AB89" s="1">
        <v>2.4974</v>
      </c>
      <c r="AV89" s="103">
        <f>E92</f>
        <v>0.2149</v>
      </c>
      <c r="AW89" s="103">
        <f>F92</f>
        <v>2.26</v>
      </c>
      <c r="AY89" s="103">
        <f>Y92</f>
        <v>5.2149</v>
      </c>
      <c r="AZ89" s="103">
        <f>Z92</f>
        <v>2.26</v>
      </c>
    </row>
    <row r="90" spans="8:8" ht="15.0" customHeight="1">
      <c r="E90" s="107">
        <v>0.3311</v>
      </c>
      <c r="F90" s="107">
        <v>2.4225</v>
      </c>
      <c r="G90" s="102"/>
      <c r="H90" s="102"/>
      <c r="I90" s="102"/>
      <c r="Y90" s="104">
        <f>AA90+5</f>
        <v>5.3311</v>
      </c>
      <c r="Z90" s="104">
        <f>AB90</f>
        <v>2.4225</v>
      </c>
      <c r="AA90" s="1">
        <v>0.3311</v>
      </c>
      <c r="AB90" s="1">
        <v>2.4225</v>
      </c>
      <c r="AV90" s="103">
        <f>E93</f>
        <v>0.1654</v>
      </c>
      <c r="AW90" s="103">
        <f>F93</f>
        <v>2.173</v>
      </c>
      <c r="AY90" s="103">
        <f>Y93</f>
        <v>5.1654</v>
      </c>
      <c r="AZ90" s="103">
        <f>Z93</f>
        <v>2.173</v>
      </c>
    </row>
    <row r="91" spans="8:8" ht="15.0" customHeight="1">
      <c r="E91" s="107">
        <v>0.2702</v>
      </c>
      <c r="F91" s="107">
        <v>2.3432</v>
      </c>
      <c r="G91" s="102"/>
      <c r="H91" s="102"/>
      <c r="I91" s="102"/>
      <c r="Y91" s="104">
        <f>AA91+5</f>
        <v>5.2702</v>
      </c>
      <c r="Z91" s="104">
        <f>AB91</f>
        <v>2.3432</v>
      </c>
      <c r="AA91" s="1">
        <v>0.2702</v>
      </c>
      <c r="AB91" s="1">
        <v>2.3432</v>
      </c>
      <c r="AV91" s="103">
        <f>E94</f>
        <v>0.1221</v>
      </c>
      <c r="AW91" s="103">
        <f>F94</f>
        <v>2.0829</v>
      </c>
      <c r="AY91" s="103">
        <f>Y94</f>
        <v>5.1221</v>
      </c>
      <c r="AZ91" s="103">
        <f>Z94</f>
        <v>2.0829</v>
      </c>
    </row>
    <row r="92" spans="8:8" ht="15.0" customHeight="1">
      <c r="E92" s="107">
        <v>0.2149</v>
      </c>
      <c r="F92" s="107">
        <v>2.26</v>
      </c>
      <c r="G92" s="102"/>
      <c r="H92" s="102"/>
      <c r="I92" s="102"/>
      <c r="Y92" s="104">
        <f>AA92+5</f>
        <v>5.2149</v>
      </c>
      <c r="Z92" s="104">
        <f>AB92</f>
        <v>2.26</v>
      </c>
      <c r="AA92" s="1">
        <v>0.2149</v>
      </c>
      <c r="AB92" s="1">
        <v>2.26</v>
      </c>
      <c r="AV92" s="103">
        <f>E95</f>
        <v>0.0851</v>
      </c>
      <c r="AW92" s="103">
        <f>F95</f>
        <v>1.9901</v>
      </c>
      <c r="AY92" s="103">
        <f>Y95</f>
        <v>5.0851</v>
      </c>
      <c r="AZ92" s="103">
        <f>Z95</f>
        <v>1.9901</v>
      </c>
    </row>
    <row r="93" spans="8:8" ht="15.0" customHeight="1">
      <c r="E93" s="107">
        <v>0.1654</v>
      </c>
      <c r="F93" s="107">
        <v>2.173</v>
      </c>
      <c r="G93" s="102"/>
      <c r="H93" s="102"/>
      <c r="I93" s="102"/>
      <c r="Y93" s="104">
        <f>AA93+5</f>
        <v>5.1654</v>
      </c>
      <c r="Z93" s="104">
        <f>AB93</f>
        <v>2.173</v>
      </c>
      <c r="AA93" s="1">
        <v>0.1654</v>
      </c>
      <c r="AB93" s="1">
        <v>2.173</v>
      </c>
      <c r="AV93" s="103">
        <f>E96</f>
        <v>0.0545</v>
      </c>
      <c r="AW93" s="103">
        <f>F96</f>
        <v>1.8949</v>
      </c>
      <c r="AY93" s="103">
        <f>Y96</f>
        <v>5.0545</v>
      </c>
      <c r="AZ93" s="103">
        <f>Z96</f>
        <v>1.8949</v>
      </c>
    </row>
    <row r="94" spans="8:8" ht="15.0" customHeight="1">
      <c r="E94" s="107">
        <v>0.1221</v>
      </c>
      <c r="F94" s="107">
        <v>2.0829</v>
      </c>
      <c r="G94" s="102"/>
      <c r="H94" s="102"/>
      <c r="I94" s="102"/>
      <c r="Y94" s="104">
        <f>AA94+5</f>
        <v>5.1221</v>
      </c>
      <c r="Z94" s="104">
        <f>AB94</f>
        <v>2.0829</v>
      </c>
      <c r="AA94" s="1">
        <v>0.1221</v>
      </c>
      <c r="AB94" s="1">
        <v>2.0829</v>
      </c>
      <c r="AV94" s="103">
        <f>E97</f>
        <v>0.0306</v>
      </c>
      <c r="AW94" s="103">
        <f>F97</f>
        <v>1.7978</v>
      </c>
      <c r="AY94" s="103">
        <f>Y97</f>
        <v>5.0306</v>
      </c>
      <c r="AZ94" s="103">
        <f>Z97</f>
        <v>1.7978</v>
      </c>
    </row>
    <row r="95" spans="8:8" ht="15.0" customHeight="1">
      <c r="E95" s="107">
        <v>0.0851</v>
      </c>
      <c r="F95" s="107">
        <v>1.9901</v>
      </c>
      <c r="G95" s="102"/>
      <c r="H95" s="102"/>
      <c r="I95" s="102"/>
      <c r="Y95" s="104">
        <f>AA95+5</f>
        <v>5.0851</v>
      </c>
      <c r="Z95" s="104">
        <f>AB95</f>
        <v>1.9901</v>
      </c>
      <c r="AA95" s="1">
        <v>0.0851</v>
      </c>
      <c r="AB95" s="1">
        <v>1.9901</v>
      </c>
      <c r="AV95" s="103">
        <f>E98</f>
        <v>0.0135</v>
      </c>
      <c r="AW95" s="103">
        <f>F98</f>
        <v>1.6993</v>
      </c>
      <c r="AY95" s="103">
        <f>Y98</f>
        <v>5.0135</v>
      </c>
      <c r="AZ95" s="103">
        <f>Z98</f>
        <v>1.6993</v>
      </c>
    </row>
    <row r="96" spans="8:8" ht="15.0" customHeight="1">
      <c r="E96" s="107">
        <v>0.0545</v>
      </c>
      <c r="F96" s="107">
        <v>1.8949</v>
      </c>
      <c r="G96" s="102"/>
      <c r="H96" s="102"/>
      <c r="I96" s="102"/>
      <c r="Y96" s="104">
        <f>AA96+5</f>
        <v>5.0545</v>
      </c>
      <c r="Z96" s="104">
        <f>AB96</f>
        <v>1.8949</v>
      </c>
      <c r="AA96" s="1">
        <v>0.0545</v>
      </c>
      <c r="AB96" s="1">
        <v>1.8949</v>
      </c>
      <c r="AV96" s="103">
        <f>E99</f>
        <v>0.0032</v>
      </c>
      <c r="AW96" s="103">
        <f>F99</f>
        <v>1.5998</v>
      </c>
      <c r="AY96" s="103">
        <f>Y99</f>
        <v>5.0032</v>
      </c>
      <c r="AZ96" s="103">
        <f>Z99</f>
        <v>1.5998</v>
      </c>
    </row>
    <row r="97" spans="8:8" ht="15.0" customHeight="1">
      <c r="E97" s="107">
        <v>0.0306</v>
      </c>
      <c r="F97" s="107">
        <v>1.7978</v>
      </c>
      <c r="G97" s="102"/>
      <c r="H97" s="102"/>
      <c r="I97" s="102"/>
      <c r="Y97" s="104">
        <f>AA97+5</f>
        <v>5.0306</v>
      </c>
      <c r="Z97" s="104">
        <f>AB97</f>
        <v>1.7978</v>
      </c>
      <c r="AA97" s="1">
        <v>0.0306</v>
      </c>
      <c r="AB97" s="1">
        <v>1.7978</v>
      </c>
      <c r="AV97" s="103">
        <f>E100</f>
        <v>0.0</v>
      </c>
      <c r="AW97" s="103">
        <f>F100</f>
        <v>1.5</v>
      </c>
      <c r="AY97" s="103">
        <f>Y100</f>
        <v>5.0</v>
      </c>
      <c r="AZ97" s="103">
        <f>Z100</f>
        <v>1.5</v>
      </c>
    </row>
    <row r="98" spans="8:8" ht="15.0" customHeight="1">
      <c r="E98" s="107">
        <v>0.0135</v>
      </c>
      <c r="F98" s="107">
        <v>1.6993</v>
      </c>
      <c r="G98" s="102"/>
      <c r="H98" s="102"/>
      <c r="I98" s="102"/>
      <c r="Y98" s="104">
        <f>AA98+5</f>
        <v>5.0135</v>
      </c>
      <c r="Z98" s="104">
        <f>AB98</f>
        <v>1.6993</v>
      </c>
      <c r="AA98" s="1">
        <v>0.0135</v>
      </c>
      <c r="AB98" s="1">
        <v>1.6993</v>
      </c>
      <c r="AV98" s="103">
        <f>E101</f>
        <v>0.0</v>
      </c>
      <c r="AW98" s="103">
        <f>F101</f>
        <v>0.0</v>
      </c>
      <c r="AY98" s="103">
        <f>Y101</f>
        <v>5.0</v>
      </c>
      <c r="AZ98" s="103">
        <f>Z101</f>
        <v>0.0</v>
      </c>
    </row>
    <row r="99" spans="8:8" ht="15.0" customHeight="1">
      <c r="E99" s="107">
        <v>0.0032</v>
      </c>
      <c r="F99" s="107">
        <v>1.5998</v>
      </c>
      <c r="G99" s="102"/>
      <c r="H99" s="102"/>
      <c r="I99" s="102"/>
      <c r="Y99" s="104">
        <f>AA99+5</f>
        <v>5.0032</v>
      </c>
      <c r="Z99" s="104">
        <f>AB99</f>
        <v>1.5998</v>
      </c>
      <c r="AA99" s="1">
        <v>0.0032</v>
      </c>
      <c r="AB99" s="1">
        <v>1.5998</v>
      </c>
      <c r="AV99" s="103">
        <f>E102</f>
        <v>0.0</v>
      </c>
      <c r="AW99" s="103">
        <f>F102</f>
        <v>0.0</v>
      </c>
      <c r="AY99" s="103">
        <f>Y102</f>
        <v>5.0</v>
      </c>
      <c r="AZ99" s="103">
        <f>Z102</f>
        <v>0.0</v>
      </c>
    </row>
    <row r="100" spans="8:8" ht="15.0" customHeight="1">
      <c r="E100" s="107">
        <v>0.0</v>
      </c>
      <c r="F100" s="107">
        <v>1.5</v>
      </c>
      <c r="G100" s="102"/>
      <c r="H100" s="102"/>
      <c r="I100" s="102"/>
      <c r="Y100" s="104">
        <f>AA100+5</f>
        <v>5.0</v>
      </c>
      <c r="Z100" s="104">
        <f>AB100</f>
        <v>1.5</v>
      </c>
      <c r="AA100" s="1">
        <v>0.0</v>
      </c>
      <c r="AB100" s="1">
        <v>1.5</v>
      </c>
      <c r="AV100" s="103"/>
      <c r="AW100" s="103"/>
      <c r="AY100" s="103"/>
      <c r="AZ100" s="103"/>
    </row>
    <row r="101" spans="8:8" ht="15.0" customHeight="1">
      <c r="E101" s="107">
        <v>0.0</v>
      </c>
      <c r="F101" s="107">
        <v>0.0</v>
      </c>
      <c r="G101" s="102"/>
      <c r="H101" s="102"/>
      <c r="I101" s="102"/>
      <c r="Y101" s="104">
        <f>AA101+5</f>
        <v>5.0</v>
      </c>
      <c r="Z101" s="104">
        <f>AB101</f>
        <v>0.0</v>
      </c>
      <c r="AA101" s="1">
        <v>0.0</v>
      </c>
      <c r="AB101" s="1">
        <v>0.0</v>
      </c>
      <c r="AV101" s="103"/>
      <c r="AW101" s="103"/>
      <c r="AY101" s="103"/>
      <c r="AZ101" s="103"/>
    </row>
    <row r="102" spans="8:8" ht="15.0" customHeight="1">
      <c r="E102" s="107">
        <f>E4</f>
        <v>0.0</v>
      </c>
      <c r="F102" s="107">
        <f>F4</f>
        <v>0.0</v>
      </c>
      <c r="G102" s="102"/>
      <c r="H102" s="102"/>
      <c r="I102" s="102"/>
      <c r="Y102" s="104">
        <f>AA102+5</f>
        <v>5.0</v>
      </c>
      <c r="Z102" s="104">
        <f>AB102</f>
        <v>0.0</v>
      </c>
      <c r="AA102" s="1">
        <f>AA4</f>
        <v>0.0</v>
      </c>
      <c r="AB102" s="1">
        <f>AB4</f>
        <v>0.0</v>
      </c>
      <c r="AV102" s="103"/>
      <c r="AW102" s="103"/>
      <c r="AY102" s="103"/>
      <c r="AZ102" s="103"/>
    </row>
    <row r="103" spans="8:8" ht="15.0" customHeight="1">
      <c r="AV103" s="103"/>
      <c r="AW103" s="103"/>
      <c r="AY103" s="103"/>
      <c r="AZ103" s="103"/>
    </row>
  </sheetData>
  <mergeCells count="22">
    <mergeCell ref="AK17:AK18"/>
    <mergeCell ref="AD3:AE3"/>
    <mergeCell ref="AK8:AK9"/>
    <mergeCell ref="AK5:AK6"/>
    <mergeCell ref="AI3:AJ3"/>
    <mergeCell ref="AG3:AH3"/>
    <mergeCell ref="AK11:AK12"/>
    <mergeCell ref="AK20:AK21"/>
    <mergeCell ref="Y3:Z3"/>
    <mergeCell ref="M14:M15"/>
    <mergeCell ref="H3:I3"/>
    <mergeCell ref="M2:M3"/>
    <mergeCell ref="M17:M18"/>
    <mergeCell ref="E3:F3"/>
    <mergeCell ref="M5:M6"/>
    <mergeCell ref="K3:L3"/>
    <mergeCell ref="M11:M12"/>
    <mergeCell ref="M8:M9"/>
    <mergeCell ref="M20:M21"/>
    <mergeCell ref="AA3:AB3"/>
    <mergeCell ref="AK14:AK15"/>
    <mergeCell ref="AK2:AK3"/>
  </mergeCells>
  <pageMargins left="0.7" right="0.7" top="0.75" bottom="0.75" header="0.511811023622047" footer="0.511811023622047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253"/>
  <sheetViews>
    <sheetView workbookViewId="0" rightToLeft="1" topLeftCell="G1" zoomScale="95">
      <selection activeCell="K1" sqref="K1"/>
    </sheetView>
  </sheetViews>
  <sheetFormatPr defaultRowHeight="15.0" defaultColWidth="9" zeroHeight="1"/>
  <cols>
    <col min="1" max="1" customWidth="1" width="4.4179688" style="1"/>
    <col min="2" max="2" customWidth="1" width="6.4296875" style="1"/>
    <col min="3" max="3" customWidth="1" width="20.289062" style="1"/>
    <col min="4" max="4" customWidth="1" width="11.707031" style="102"/>
    <col min="5" max="5" customWidth="1" width="8.0" style="102"/>
    <col min="6" max="6" customWidth="1" width="10.2890625" style="102"/>
    <col min="7" max="7" customWidth="1" width="19.707031" style="102"/>
    <col min="8" max="8" hidden="1" customWidth="1" width="19.707031" style="1"/>
    <col min="9" max="9" customWidth="1" width="19.707031" style="1"/>
    <col min="10" max="10" hidden="1" customWidth="1" width="19.707031" style="1"/>
    <col min="11" max="12" customWidth="1" width="14.707031" style="2"/>
    <col min="13" max="13" customWidth="1" width="14.707031" style="1"/>
    <col min="14" max="14" customWidth="1" width="14.707031" style="122"/>
    <col min="15" max="16" customWidth="1" width="14.707031" style="1"/>
  </cols>
  <sheetData>
    <row r="1" spans="8:8" ht="42.75" customHeight="1">
      <c r="A1" s="123"/>
      <c r="B1" s="123"/>
      <c r="C1" s="123"/>
      <c r="D1" s="124" t="s">
        <v>43</v>
      </c>
      <c r="E1" s="125" t="s">
        <v>44</v>
      </c>
      <c r="F1" s="125" t="s">
        <v>45</v>
      </c>
      <c r="G1" s="126"/>
      <c r="H1" s="127"/>
      <c r="I1" s="128"/>
      <c r="J1" s="129"/>
      <c r="K1" s="130" t="s">
        <v>46</v>
      </c>
      <c r="L1" s="130" t="s">
        <v>47</v>
      </c>
      <c r="M1" s="1" t="s">
        <v>48</v>
      </c>
      <c r="N1" s="122" t="s">
        <v>49</v>
      </c>
      <c r="O1" s="1" t="s">
        <v>50</v>
      </c>
      <c r="U1" s="130" t="s">
        <v>51</v>
      </c>
      <c r="V1" s="131" t="s">
        <v>52</v>
      </c>
    </row>
    <row r="2" spans="8:8" ht="46.5" customHeight="1">
      <c r="A2" s="132" t="s">
        <v>4</v>
      </c>
      <c r="B2" s="132"/>
      <c r="C2" s="132"/>
      <c r="D2" s="133" t="s">
        <v>53</v>
      </c>
      <c r="E2" s="134" t="str">
        <f>LOOKUP(E1,V:V,U:U)</f>
        <v>شنبه</v>
      </c>
      <c r="F2" s="134"/>
      <c r="G2" s="135"/>
      <c r="H2" s="127"/>
      <c r="I2" s="128"/>
      <c r="J2" s="128"/>
      <c r="K2" s="1">
        <v>200.0</v>
      </c>
      <c r="L2" s="1">
        <v>227.0</v>
      </c>
      <c r="M2" s="122">
        <v>733568.997</v>
      </c>
      <c r="N2" s="1">
        <v>4017781.695</v>
      </c>
      <c r="O2" s="122">
        <v>962.926</v>
      </c>
      <c r="R2" s="71"/>
      <c r="S2" s="71"/>
      <c r="U2" s="130" t="s">
        <v>54</v>
      </c>
      <c r="V2" s="122" t="s">
        <v>55</v>
      </c>
    </row>
    <row r="3" spans="8:8" ht="27.0" customHeight="1">
      <c r="A3" s="136" t="s">
        <v>56</v>
      </c>
      <c r="B3" s="137" t="s">
        <v>57</v>
      </c>
      <c r="C3" s="138" t="s">
        <v>9</v>
      </c>
      <c r="D3" s="19" t="s">
        <v>58</v>
      </c>
      <c r="E3" s="19" t="s">
        <v>59</v>
      </c>
      <c r="F3" s="19" t="s">
        <v>60</v>
      </c>
      <c r="G3" s="19" t="s">
        <v>61</v>
      </c>
      <c r="H3" s="127"/>
      <c r="I3" s="128"/>
      <c r="J3" s="128"/>
      <c r="K3" s="2">
        <v>201.0</v>
      </c>
      <c r="L3" s="2">
        <v>228.2</v>
      </c>
      <c r="M3" s="122">
        <v>733568.261</v>
      </c>
      <c r="N3" s="1">
        <v>4017782.643</v>
      </c>
      <c r="O3" s="1">
        <v>962.918</v>
      </c>
      <c r="U3" s="130" t="s">
        <v>62</v>
      </c>
      <c r="V3" s="122" t="s">
        <v>63</v>
      </c>
    </row>
    <row r="4" spans="8:8" ht="15.0" customHeight="1">
      <c r="A4" s="139" t="s">
        <v>14</v>
      </c>
      <c r="B4" s="140" t="s">
        <v>64</v>
      </c>
      <c r="C4" s="141" t="s">
        <v>16</v>
      </c>
      <c r="D4" s="142">
        <v>306.0</v>
      </c>
      <c r="E4" s="143">
        <v>110.0</v>
      </c>
      <c r="F4" s="142">
        <f>D4-I4</f>
        <v>306.0</v>
      </c>
      <c r="G4" s="143">
        <v>14.0</v>
      </c>
      <c r="H4" s="144"/>
      <c r="I4" s="145">
        <v>0.0</v>
      </c>
      <c r="J4" s="72">
        <f>F4+1</f>
        <v>307.0</v>
      </c>
      <c r="K4" s="2">
        <v>202.0</v>
      </c>
      <c r="L4" s="2">
        <v>229.4</v>
      </c>
      <c r="M4" s="122">
        <v>733567.526</v>
      </c>
      <c r="N4" s="1">
        <v>4017783.591</v>
      </c>
      <c r="O4" s="1">
        <v>962.914</v>
      </c>
      <c r="U4" s="130" t="s">
        <v>65</v>
      </c>
      <c r="V4" s="122" t="s">
        <v>66</v>
      </c>
    </row>
    <row r="5" spans="8:8" ht="15.0" customHeight="1">
      <c r="A5" s="139"/>
      <c r="B5" s="139"/>
      <c r="C5" s="139"/>
      <c r="D5" s="139"/>
      <c r="E5" s="139"/>
      <c r="F5" s="139"/>
      <c r="G5" s="139"/>
      <c r="H5" s="144"/>
      <c r="I5" s="145"/>
      <c r="J5" s="145"/>
      <c r="K5" s="2">
        <v>203.0</v>
      </c>
      <c r="L5" s="2">
        <v>230.6</v>
      </c>
      <c r="M5" s="122">
        <v>733566.79</v>
      </c>
      <c r="N5" s="1">
        <v>4017784.539</v>
      </c>
      <c r="O5" s="1">
        <v>962.909</v>
      </c>
      <c r="U5" s="130" t="s">
        <v>67</v>
      </c>
      <c r="V5" s="122" t="s">
        <v>68</v>
      </c>
    </row>
    <row r="6" spans="8:8" ht="15.0" customHeight="1">
      <c r="A6" s="139"/>
      <c r="B6" s="140"/>
      <c r="C6" s="140"/>
      <c r="D6" s="140"/>
      <c r="E6" s="140"/>
      <c r="F6" s="140"/>
      <c r="G6" s="140"/>
      <c r="H6" s="144"/>
      <c r="I6" s="145"/>
      <c r="J6" s="145"/>
      <c r="K6" s="2">
        <v>204.0</v>
      </c>
      <c r="L6" s="2">
        <v>231.8</v>
      </c>
      <c r="M6" s="122">
        <v>733566.055</v>
      </c>
      <c r="N6" s="1">
        <v>4017785.488</v>
      </c>
      <c r="O6" s="1">
        <v>962.905</v>
      </c>
      <c r="U6" s="130" t="s">
        <v>69</v>
      </c>
      <c r="V6" s="122" t="s">
        <v>70</v>
      </c>
    </row>
    <row r="7" spans="8:8" ht="15.0" customHeight="1">
      <c r="A7" s="139"/>
      <c r="B7" s="140" t="s">
        <v>71</v>
      </c>
      <c r="C7" s="141" t="s">
        <v>16</v>
      </c>
      <c r="D7" s="142">
        <v>316.0</v>
      </c>
      <c r="E7" s="146">
        <v>11.0</v>
      </c>
      <c r="F7" s="142">
        <f>D7+I7</f>
        <v>317.0</v>
      </c>
      <c r="G7" s="146">
        <v>9.0</v>
      </c>
      <c r="H7" s="144"/>
      <c r="I7" s="145">
        <v>1.0</v>
      </c>
      <c r="J7" s="72">
        <f>F7+1</f>
        <v>318.0</v>
      </c>
      <c r="K7" s="2">
        <v>205.0</v>
      </c>
      <c r="L7" s="2">
        <v>233.0</v>
      </c>
      <c r="M7" s="122">
        <v>733565.319</v>
      </c>
      <c r="N7" s="1">
        <v>4017786.436</v>
      </c>
      <c r="O7" s="1">
        <v>962.9</v>
      </c>
      <c r="U7" s="130" t="s">
        <v>72</v>
      </c>
      <c r="V7" s="122" t="s">
        <v>73</v>
      </c>
    </row>
    <row r="8" spans="8:8" ht="15.0" customHeight="1">
      <c r="A8" s="139"/>
      <c r="B8" s="139"/>
      <c r="C8" s="139"/>
      <c r="D8" s="139"/>
      <c r="E8" s="139"/>
      <c r="F8" s="139"/>
      <c r="G8" s="139"/>
      <c r="H8" s="144"/>
      <c r="I8" s="145"/>
      <c r="J8" s="145"/>
      <c r="K8" s="2">
        <v>206.0</v>
      </c>
      <c r="L8" s="2">
        <v>234.2</v>
      </c>
      <c r="M8" s="122">
        <v>733564.584</v>
      </c>
      <c r="N8" s="1">
        <v>4017787.384</v>
      </c>
      <c r="O8" s="1">
        <v>962.896</v>
      </c>
      <c r="U8" s="130" t="s">
        <v>74</v>
      </c>
      <c r="V8" s="122" t="s">
        <v>75</v>
      </c>
    </row>
    <row r="9" spans="8:8" ht="15.0" customHeight="1">
      <c r="A9" s="139"/>
      <c r="B9" s="139"/>
      <c r="C9" s="139"/>
      <c r="D9" s="139"/>
      <c r="E9" s="139"/>
      <c r="F9" s="139"/>
      <c r="G9" s="139"/>
      <c r="H9" s="144"/>
      <c r="I9" s="145"/>
      <c r="J9" s="145"/>
      <c r="K9" s="2">
        <v>207.0</v>
      </c>
      <c r="L9" s="2">
        <v>235.4</v>
      </c>
      <c r="M9" s="122">
        <v>733563.848</v>
      </c>
      <c r="N9" s="1">
        <v>4017788.332</v>
      </c>
      <c r="O9" s="1">
        <v>962.891</v>
      </c>
      <c r="U9" s="130" t="s">
        <v>54</v>
      </c>
      <c r="V9" s="122" t="s">
        <v>76</v>
      </c>
    </row>
    <row r="10" spans="8:8" ht="15.0" customHeight="1">
      <c r="A10" s="139" t="s">
        <v>22</v>
      </c>
      <c r="B10" s="140" t="s">
        <v>77</v>
      </c>
      <c r="C10" s="141" t="s">
        <v>16</v>
      </c>
      <c r="D10" s="142">
        <v>497.0</v>
      </c>
      <c r="E10" s="146">
        <v>0.0</v>
      </c>
      <c r="F10" s="142">
        <f>D10-I10</f>
        <v>496.0</v>
      </c>
      <c r="G10" s="143">
        <v>35.0</v>
      </c>
      <c r="H10" s="147"/>
      <c r="I10" s="145">
        <v>1.0</v>
      </c>
      <c r="J10" s="72">
        <f>F10+1</f>
        <v>497.0</v>
      </c>
      <c r="K10" s="2">
        <v>208.0</v>
      </c>
      <c r="L10" s="2">
        <v>236.6</v>
      </c>
      <c r="M10" s="122">
        <v>733563.113</v>
      </c>
      <c r="N10" s="1">
        <v>4017789.28</v>
      </c>
      <c r="O10" s="1">
        <v>962.887</v>
      </c>
      <c r="U10" s="130" t="s">
        <v>62</v>
      </c>
      <c r="V10" s="122" t="s">
        <v>78</v>
      </c>
    </row>
    <row r="11" spans="8:8" ht="15.0" customHeight="1">
      <c r="A11" s="139"/>
      <c r="B11" s="139"/>
      <c r="C11" s="139"/>
      <c r="D11" s="139"/>
      <c r="E11" s="139"/>
      <c r="F11" s="139"/>
      <c r="G11" s="139"/>
      <c r="H11" s="147">
        <v>0.0</v>
      </c>
      <c r="I11" s="145"/>
      <c r="J11" s="145"/>
      <c r="K11" s="2">
        <v>209.0</v>
      </c>
      <c r="L11" s="2">
        <v>237.8</v>
      </c>
      <c r="M11" s="122">
        <v>733562.377</v>
      </c>
      <c r="N11" s="1">
        <v>4017790.228</v>
      </c>
      <c r="O11" s="1">
        <v>962.883</v>
      </c>
      <c r="U11" s="130" t="s">
        <v>65</v>
      </c>
      <c r="V11" s="122" t="s">
        <v>79</v>
      </c>
    </row>
    <row r="12" spans="8:8" ht="15.0" customHeight="1">
      <c r="A12" s="139"/>
      <c r="B12" s="140"/>
      <c r="C12" s="140"/>
      <c r="D12" s="140"/>
      <c r="E12" s="140"/>
      <c r="F12" s="140"/>
      <c r="G12" s="140"/>
      <c r="H12" s="147"/>
      <c r="I12" s="145"/>
      <c r="J12" s="145"/>
      <c r="K12" s="2">
        <v>210.0</v>
      </c>
      <c r="L12" s="2">
        <v>239.0</v>
      </c>
      <c r="M12" s="122">
        <v>733561.642</v>
      </c>
      <c r="N12" s="1">
        <v>4017791.177</v>
      </c>
      <c r="O12" s="1">
        <v>962.883</v>
      </c>
      <c r="U12" s="130" t="s">
        <v>67</v>
      </c>
      <c r="V12" s="122" t="s">
        <v>80</v>
      </c>
    </row>
    <row r="13" spans="8:8" ht="15.0" customHeight="1">
      <c r="A13" s="139"/>
      <c r="B13" s="140" t="s">
        <v>81</v>
      </c>
      <c r="C13" s="141" t="s">
        <v>16</v>
      </c>
      <c r="D13" s="142">
        <v>499.0</v>
      </c>
      <c r="E13" s="146">
        <v>5.0</v>
      </c>
      <c r="F13" s="142">
        <f>D13+I13</f>
        <v>499.0</v>
      </c>
      <c r="G13" s="146">
        <v>5.0</v>
      </c>
      <c r="H13" s="144"/>
      <c r="I13" s="145">
        <v>0.0</v>
      </c>
      <c r="J13" s="72">
        <f>F13+1</f>
        <v>500.0</v>
      </c>
      <c r="K13" s="2">
        <v>211.0</v>
      </c>
      <c r="L13" s="2">
        <v>240.2</v>
      </c>
      <c r="M13" s="122">
        <v>733560.906</v>
      </c>
      <c r="N13" s="1">
        <v>4017792.125</v>
      </c>
      <c r="O13" s="1">
        <v>962.874</v>
      </c>
      <c r="U13" s="130" t="s">
        <v>69</v>
      </c>
      <c r="V13" s="122" t="s">
        <v>82</v>
      </c>
    </row>
    <row r="14" spans="8:8" ht="15.0" customHeight="1">
      <c r="A14" s="139"/>
      <c r="B14" s="139"/>
      <c r="C14" s="139"/>
      <c r="D14" s="139"/>
      <c r="E14" s="139"/>
      <c r="F14" s="139"/>
      <c r="G14" s="139"/>
      <c r="H14" s="144"/>
      <c r="I14" s="145"/>
      <c r="J14" s="145"/>
      <c r="K14" s="2">
        <v>212.0</v>
      </c>
      <c r="L14" s="2">
        <v>241.4</v>
      </c>
      <c r="M14" s="122">
        <v>733560.171</v>
      </c>
      <c r="N14" s="1">
        <v>4017793.073</v>
      </c>
      <c r="O14" s="1">
        <v>962.869</v>
      </c>
      <c r="U14" s="130" t="s">
        <v>72</v>
      </c>
      <c r="V14" s="122" t="s">
        <v>83</v>
      </c>
    </row>
    <row r="15" spans="8:8" ht="15.0" customHeight="1">
      <c r="A15" s="139"/>
      <c r="B15" s="139"/>
      <c r="C15" s="139"/>
      <c r="D15" s="139"/>
      <c r="E15" s="139"/>
      <c r="F15" s="139"/>
      <c r="G15" s="139"/>
      <c r="H15" s="144"/>
      <c r="I15" s="145"/>
      <c r="J15" s="145"/>
      <c r="K15" s="2">
        <v>213.0</v>
      </c>
      <c r="L15" s="2">
        <v>242.6</v>
      </c>
      <c r="M15" s="122">
        <v>733559.435</v>
      </c>
      <c r="N15" s="1">
        <v>4017794.021</v>
      </c>
      <c r="O15" s="1">
        <v>962.865</v>
      </c>
      <c r="U15" s="130" t="s">
        <v>74</v>
      </c>
      <c r="V15" s="122" t="s">
        <v>84</v>
      </c>
    </row>
    <row r="16" spans="8:8" ht="15.0" customHeight="1">
      <c r="A16" s="139" t="s">
        <v>23</v>
      </c>
      <c r="B16" s="140" t="s">
        <v>85</v>
      </c>
      <c r="C16" s="141" t="s">
        <v>16</v>
      </c>
      <c r="D16" s="148">
        <v>767.0</v>
      </c>
      <c r="E16" s="143">
        <v>0.0</v>
      </c>
      <c r="F16" s="142">
        <f>D16-I16</f>
        <v>767.0</v>
      </c>
      <c r="G16" s="143">
        <v>0.0</v>
      </c>
      <c r="H16" s="144"/>
      <c r="I16" s="145">
        <v>0.0</v>
      </c>
      <c r="J16" s="72">
        <f>F16+1</f>
        <v>768.0</v>
      </c>
      <c r="K16" s="2">
        <v>214.0</v>
      </c>
      <c r="L16" s="2">
        <v>243.8</v>
      </c>
      <c r="M16" s="122">
        <v>733558.7</v>
      </c>
      <c r="N16" s="1">
        <v>4017794.969</v>
      </c>
      <c r="O16" s="1">
        <v>962.86</v>
      </c>
      <c r="U16" s="130" t="s">
        <v>54</v>
      </c>
      <c r="V16" s="122" t="s">
        <v>86</v>
      </c>
    </row>
    <row r="17" spans="8:8" ht="15.0" customHeight="1">
      <c r="A17" s="139"/>
      <c r="B17" s="139"/>
      <c r="C17" s="139"/>
      <c r="D17" s="139"/>
      <c r="E17" s="139"/>
      <c r="F17" s="139"/>
      <c r="G17" s="139"/>
      <c r="H17" s="144">
        <v>1.0</v>
      </c>
      <c r="I17" s="145"/>
      <c r="J17" s="145"/>
      <c r="K17" s="2">
        <v>215.0</v>
      </c>
      <c r="L17" s="2">
        <v>245.0</v>
      </c>
      <c r="M17" s="122">
        <v>733557.964</v>
      </c>
      <c r="N17" s="1">
        <v>4017795.917</v>
      </c>
      <c r="O17" s="1">
        <v>962.856</v>
      </c>
      <c r="U17" s="130" t="s">
        <v>62</v>
      </c>
      <c r="V17" s="122" t="s">
        <v>87</v>
      </c>
    </row>
    <row r="18" spans="8:8" ht="15.0" customHeight="1">
      <c r="A18" s="139"/>
      <c r="B18" s="140"/>
      <c r="C18" s="140"/>
      <c r="D18" s="140"/>
      <c r="E18" s="140"/>
      <c r="F18" s="140"/>
      <c r="G18" s="140"/>
      <c r="H18" s="144"/>
      <c r="I18" s="145"/>
      <c r="J18" s="145"/>
      <c r="K18" s="2">
        <v>216.0</v>
      </c>
      <c r="L18" s="2">
        <v>246.2</v>
      </c>
      <c r="M18" s="122">
        <v>733557.229</v>
      </c>
      <c r="N18" s="1">
        <v>4017796.866</v>
      </c>
      <c r="O18" s="1">
        <v>962.851</v>
      </c>
      <c r="U18" s="130" t="s">
        <v>65</v>
      </c>
      <c r="V18" s="122" t="s">
        <v>88</v>
      </c>
    </row>
    <row r="19" spans="8:8" ht="15.0" customHeight="1">
      <c r="A19" s="139"/>
      <c r="B19" s="140" t="s">
        <v>89</v>
      </c>
      <c r="C19" s="141" t="s">
        <v>16</v>
      </c>
      <c r="D19" s="148">
        <v>767.0</v>
      </c>
      <c r="E19" s="143">
        <v>0.0</v>
      </c>
      <c r="F19" s="142">
        <f>D19+I19</f>
        <v>767.0</v>
      </c>
      <c r="G19" s="146">
        <v>0.0</v>
      </c>
      <c r="H19" s="144"/>
      <c r="I19" s="145">
        <v>0.0</v>
      </c>
      <c r="J19" s="72">
        <f>F19+1</f>
        <v>768.0</v>
      </c>
      <c r="K19" s="2">
        <v>217.0</v>
      </c>
      <c r="L19" s="2">
        <v>247.4</v>
      </c>
      <c r="M19" s="122">
        <v>733556.493</v>
      </c>
      <c r="N19" s="1">
        <v>4017797.814</v>
      </c>
      <c r="O19" s="1">
        <v>962.847</v>
      </c>
      <c r="U19" s="130" t="s">
        <v>65</v>
      </c>
      <c r="V19" s="122" t="s">
        <v>90</v>
      </c>
    </row>
    <row r="20" spans="8:8" ht="15.0" customHeight="1">
      <c r="A20" s="139"/>
      <c r="B20" s="139"/>
      <c r="C20" s="139"/>
      <c r="D20" s="139"/>
      <c r="E20" s="139"/>
      <c r="F20" s="139"/>
      <c r="G20" s="139"/>
      <c r="H20" s="144"/>
      <c r="I20" s="145"/>
      <c r="J20" s="145"/>
      <c r="K20" s="2">
        <v>218.0</v>
      </c>
      <c r="L20" s="2">
        <v>248.6</v>
      </c>
      <c r="M20" s="122">
        <v>733555.758</v>
      </c>
      <c r="N20" s="1">
        <v>4017798.762</v>
      </c>
      <c r="O20" s="1">
        <v>962.842</v>
      </c>
      <c r="U20" s="130" t="s">
        <v>67</v>
      </c>
      <c r="V20" s="122" t="s">
        <v>91</v>
      </c>
    </row>
    <row r="21" spans="8:8" ht="15.0" customHeight="1">
      <c r="A21" s="139"/>
      <c r="B21" s="139"/>
      <c r="C21" s="139"/>
      <c r="D21" s="139"/>
      <c r="E21" s="139"/>
      <c r="F21" s="139"/>
      <c r="G21" s="139"/>
      <c r="H21" s="144"/>
      <c r="I21" s="145"/>
      <c r="J21" s="145"/>
      <c r="K21" s="2">
        <v>219.0</v>
      </c>
      <c r="L21" s="2">
        <v>249.8</v>
      </c>
      <c r="M21" s="122">
        <v>733555.022</v>
      </c>
      <c r="N21" s="1">
        <v>4017799.71</v>
      </c>
      <c r="O21" s="1">
        <v>962.838</v>
      </c>
      <c r="U21" s="130" t="s">
        <v>69</v>
      </c>
      <c r="V21" s="122" t="s">
        <v>92</v>
      </c>
    </row>
    <row r="22" spans="8:8" ht="15.0" customHeight="1">
      <c r="A22" s="139" t="s">
        <v>25</v>
      </c>
      <c r="B22" s="140" t="s">
        <v>93</v>
      </c>
      <c r="C22" s="141" t="s">
        <v>16</v>
      </c>
      <c r="D22" s="148">
        <v>5000.0</v>
      </c>
      <c r="E22" s="143">
        <v>0.0</v>
      </c>
      <c r="F22" s="142">
        <f>D22-I22</f>
        <v>5000.0</v>
      </c>
      <c r="G22" s="143">
        <v>0.0</v>
      </c>
      <c r="H22" s="144"/>
      <c r="I22" s="145">
        <v>0.0</v>
      </c>
      <c r="J22" s="72">
        <f>F22+1</f>
        <v>5001.0</v>
      </c>
      <c r="K22" s="2">
        <v>220.0</v>
      </c>
      <c r="L22" s="2">
        <v>251.0</v>
      </c>
      <c r="M22" s="122">
        <v>733554.287</v>
      </c>
      <c r="N22" s="1">
        <v>4017800.658</v>
      </c>
      <c r="O22" s="1">
        <v>962.852</v>
      </c>
      <c r="U22" s="130" t="s">
        <v>72</v>
      </c>
      <c r="V22" s="122" t="s">
        <v>94</v>
      </c>
    </row>
    <row r="23" spans="8:8" ht="15.0" customHeight="1">
      <c r="A23" s="139"/>
      <c r="B23" s="139"/>
      <c r="C23" s="139"/>
      <c r="D23" s="139"/>
      <c r="E23" s="139"/>
      <c r="F23" s="139"/>
      <c r="G23" s="139"/>
      <c r="H23" s="144">
        <v>2.0</v>
      </c>
      <c r="I23" s="145"/>
      <c r="J23" s="145"/>
      <c r="K23" s="2">
        <v>221.0</v>
      </c>
      <c r="L23" s="2">
        <v>252.2</v>
      </c>
      <c r="M23" s="122">
        <v>733553.551</v>
      </c>
      <c r="N23" s="1">
        <v>4017801.606</v>
      </c>
      <c r="O23" s="1">
        <v>962.87</v>
      </c>
      <c r="U23" s="130" t="s">
        <v>74</v>
      </c>
      <c r="V23" s="122" t="s">
        <v>95</v>
      </c>
    </row>
    <row r="24" spans="8:8" ht="15.0" customHeight="1">
      <c r="A24" s="139"/>
      <c r="B24" s="140"/>
      <c r="C24" s="140"/>
      <c r="D24" s="140"/>
      <c r="E24" s="140"/>
      <c r="F24" s="140"/>
      <c r="G24" s="140"/>
      <c r="H24" s="144"/>
      <c r="I24" s="145"/>
      <c r="J24" s="145"/>
      <c r="K24" s="2">
        <v>222.0</v>
      </c>
      <c r="L24" s="2">
        <v>253.4</v>
      </c>
      <c r="M24" s="122">
        <v>733552.816</v>
      </c>
      <c r="N24" s="1">
        <v>4017802.555</v>
      </c>
      <c r="O24" s="1">
        <v>962.888</v>
      </c>
      <c r="U24" s="130" t="s">
        <v>54</v>
      </c>
      <c r="V24" s="122" t="s">
        <v>96</v>
      </c>
    </row>
    <row r="25" spans="8:8" ht="15.0" customHeight="1">
      <c r="A25" s="139"/>
      <c r="B25" s="140" t="s">
        <v>97</v>
      </c>
      <c r="C25" s="141" t="s">
        <v>16</v>
      </c>
      <c r="D25" s="148">
        <v>5000.0</v>
      </c>
      <c r="E25" s="143">
        <v>0.0</v>
      </c>
      <c r="F25" s="142">
        <f>D25+I25</f>
        <v>5000.0</v>
      </c>
      <c r="G25" s="146">
        <v>0.0</v>
      </c>
      <c r="H25" s="144"/>
      <c r="I25" s="145">
        <v>0.0</v>
      </c>
      <c r="J25" s="72">
        <f>F25+1</f>
        <v>5001.0</v>
      </c>
      <c r="K25" s="2">
        <v>223.0</v>
      </c>
      <c r="L25" s="2">
        <v>254.6</v>
      </c>
      <c r="M25" s="122">
        <v>733552.08</v>
      </c>
      <c r="N25" s="1">
        <v>4017803.503</v>
      </c>
      <c r="O25" s="1">
        <v>962.905</v>
      </c>
      <c r="U25" s="130" t="s">
        <v>62</v>
      </c>
      <c r="V25" s="122" t="s">
        <v>98</v>
      </c>
    </row>
    <row r="26" spans="8:8" ht="15.0" customHeight="1">
      <c r="A26" s="139"/>
      <c r="B26" s="139"/>
      <c r="C26" s="139"/>
      <c r="D26" s="139"/>
      <c r="E26" s="139"/>
      <c r="F26" s="139"/>
      <c r="G26" s="139"/>
      <c r="H26" s="144"/>
      <c r="I26" s="145"/>
      <c r="J26" s="145"/>
      <c r="K26" s="2">
        <v>224.0</v>
      </c>
      <c r="L26" s="2">
        <v>255.8</v>
      </c>
      <c r="M26" s="1">
        <v>733551.314</v>
      </c>
      <c r="N26" s="122">
        <v>4017804.426</v>
      </c>
      <c r="O26" s="1">
        <v>962.923</v>
      </c>
      <c r="U26" s="130" t="s">
        <v>65</v>
      </c>
      <c r="V26" s="122" t="s">
        <v>99</v>
      </c>
    </row>
    <row r="27" spans="8:8" ht="15.0" customHeight="1">
      <c r="A27" s="139"/>
      <c r="B27" s="139"/>
      <c r="C27" s="139"/>
      <c r="D27" s="139"/>
      <c r="E27" s="139"/>
      <c r="F27" s="139"/>
      <c r="G27" s="139"/>
      <c r="H27" s="144"/>
      <c r="I27" s="145"/>
      <c r="J27" s="145"/>
      <c r="K27" s="2">
        <v>225.0</v>
      </c>
      <c r="L27" s="2">
        <v>257.0</v>
      </c>
      <c r="M27" s="1">
        <v>733550.548</v>
      </c>
      <c r="N27" s="122">
        <v>4017805.35</v>
      </c>
      <c r="O27" s="1">
        <v>962.941</v>
      </c>
      <c r="U27" s="130" t="s">
        <v>67</v>
      </c>
      <c r="V27" s="122" t="s">
        <v>100</v>
      </c>
    </row>
    <row r="28" spans="8:8" ht="15.0" customHeight="1">
      <c r="K28" s="2">
        <v>226.0</v>
      </c>
      <c r="L28" s="2">
        <v>258.2</v>
      </c>
      <c r="M28" s="1">
        <v>733549.782</v>
      </c>
      <c r="N28" s="122">
        <v>4017806.274</v>
      </c>
      <c r="O28" s="1">
        <v>962.959</v>
      </c>
      <c r="U28" s="130" t="s">
        <v>69</v>
      </c>
      <c r="V28" s="122" t="s">
        <v>101</v>
      </c>
    </row>
    <row r="29" spans="8:8" ht="15.0" customHeight="1">
      <c r="F29" s="102" t="s">
        <v>102</v>
      </c>
      <c r="K29" s="2">
        <v>227.0</v>
      </c>
      <c r="L29" s="2">
        <v>259.4</v>
      </c>
      <c r="M29" s="1">
        <v>733549.016</v>
      </c>
      <c r="N29" s="122">
        <v>4017807.198</v>
      </c>
      <c r="O29" s="1">
        <v>962.977</v>
      </c>
      <c r="U29" s="130" t="s">
        <v>72</v>
      </c>
      <c r="V29" s="122" t="s">
        <v>103</v>
      </c>
    </row>
    <row r="30" spans="8:8" ht="65.25" customHeight="1">
      <c r="K30" s="2">
        <v>228.0</v>
      </c>
      <c r="L30" s="2">
        <v>260.6</v>
      </c>
      <c r="M30" s="1">
        <v>733548.25</v>
      </c>
      <c r="N30" s="122">
        <v>4017808.121</v>
      </c>
      <c r="O30" s="1">
        <v>962.995</v>
      </c>
      <c r="U30" s="130" t="s">
        <v>74</v>
      </c>
      <c r="V30" s="122" t="s">
        <v>104</v>
      </c>
    </row>
    <row r="31" spans="8:8" ht="14.25" customHeight="1">
      <c r="K31" s="2">
        <v>229.0</v>
      </c>
      <c r="L31" s="2">
        <v>261.8</v>
      </c>
      <c r="M31" s="1">
        <v>733547.484</v>
      </c>
      <c r="N31" s="122">
        <v>4017809.045</v>
      </c>
      <c r="O31" s="1">
        <v>963.012</v>
      </c>
      <c r="U31" s="130" t="s">
        <v>54</v>
      </c>
      <c r="V31" s="122" t="s">
        <v>105</v>
      </c>
    </row>
    <row r="32" spans="8:8" ht="15.0" customHeight="1">
      <c r="K32" s="2">
        <v>230.0</v>
      </c>
      <c r="L32" s="2">
        <v>263.0</v>
      </c>
      <c r="M32" s="1">
        <v>733546.718</v>
      </c>
      <c r="N32" s="122">
        <v>4017809.969</v>
      </c>
      <c r="O32" s="1">
        <v>963.03</v>
      </c>
      <c r="U32" s="130" t="s">
        <v>62</v>
      </c>
      <c r="V32" s="122" t="s">
        <v>106</v>
      </c>
    </row>
    <row r="33" spans="8:8" ht="29.25" customHeight="1">
      <c r="K33" s="2">
        <v>231.0</v>
      </c>
      <c r="L33" s="2">
        <v>264.2</v>
      </c>
      <c r="M33" s="1">
        <v>733545.952</v>
      </c>
      <c r="N33" s="122">
        <v>4017810.892</v>
      </c>
      <c r="O33" s="1">
        <v>963.048</v>
      </c>
      <c r="U33" s="130" t="s">
        <v>65</v>
      </c>
      <c r="V33" s="122" t="s">
        <v>107</v>
      </c>
    </row>
    <row r="34" spans="8:8" ht="15.0" customHeight="1">
      <c r="K34" s="2">
        <v>232.0</v>
      </c>
      <c r="L34" s="2">
        <v>265.4</v>
      </c>
      <c r="M34" s="1">
        <v>733545.186</v>
      </c>
      <c r="N34" s="122">
        <v>4017811.816</v>
      </c>
      <c r="O34" s="1">
        <v>963.066</v>
      </c>
      <c r="U34" s="130" t="s">
        <v>67</v>
      </c>
      <c r="V34" s="122" t="s">
        <v>108</v>
      </c>
    </row>
    <row r="35" spans="8:8" ht="15.0" customHeight="1">
      <c r="K35" s="2">
        <v>233.0</v>
      </c>
      <c r="L35" s="2">
        <v>266.6</v>
      </c>
      <c r="M35" s="1">
        <v>733544.42</v>
      </c>
      <c r="N35" s="122">
        <v>4017812.74</v>
      </c>
      <c r="O35" s="1">
        <v>963.084</v>
      </c>
      <c r="U35" s="130" t="s">
        <v>69</v>
      </c>
      <c r="V35" s="122" t="s">
        <v>109</v>
      </c>
    </row>
    <row r="36" spans="8:8" ht="15.0" customHeight="1">
      <c r="K36" s="2">
        <v>234.0</v>
      </c>
      <c r="L36" s="2">
        <v>267.8</v>
      </c>
      <c r="M36" s="1">
        <v>733543.654</v>
      </c>
      <c r="N36" s="122">
        <v>4017813.663</v>
      </c>
      <c r="O36" s="1">
        <v>963.102</v>
      </c>
      <c r="U36" s="130" t="s">
        <v>72</v>
      </c>
      <c r="V36" s="122" t="s">
        <v>110</v>
      </c>
    </row>
    <row r="37" spans="8:8" ht="15.0" customHeight="1">
      <c r="K37" s="2">
        <v>235.0</v>
      </c>
      <c r="L37" s="2">
        <v>269.0</v>
      </c>
      <c r="M37" s="1">
        <v>733542.888</v>
      </c>
      <c r="N37" s="122">
        <v>4017814.587</v>
      </c>
      <c r="O37" s="1">
        <v>963.119</v>
      </c>
      <c r="U37" s="130" t="s">
        <v>74</v>
      </c>
      <c r="V37" s="122" t="s">
        <v>111</v>
      </c>
    </row>
    <row r="38" spans="8:8" ht="15.75" customHeight="1">
      <c r="K38" s="2">
        <v>236.0</v>
      </c>
      <c r="L38" s="2">
        <v>270.2</v>
      </c>
      <c r="M38" s="1">
        <v>733542.122</v>
      </c>
      <c r="N38" s="122">
        <v>4017815.511</v>
      </c>
      <c r="O38" s="1">
        <v>963.137</v>
      </c>
      <c r="U38" s="130" t="s">
        <v>54</v>
      </c>
      <c r="V38" s="122" t="s">
        <v>112</v>
      </c>
    </row>
    <row r="39" spans="8:8" ht="31.5" customHeight="1">
      <c r="K39" s="2">
        <v>237.0</v>
      </c>
      <c r="L39" s="2">
        <v>271.4</v>
      </c>
      <c r="M39" s="1">
        <v>733541.356</v>
      </c>
      <c r="N39" s="122">
        <v>4017816.434</v>
      </c>
      <c r="O39" s="1">
        <v>963.155</v>
      </c>
      <c r="U39" s="130" t="s">
        <v>62</v>
      </c>
      <c r="V39" s="122" t="s">
        <v>113</v>
      </c>
    </row>
    <row r="40" spans="8:8" ht="15.0" customHeight="1">
      <c r="K40" s="2">
        <v>238.0</v>
      </c>
      <c r="L40" s="2">
        <v>272.6</v>
      </c>
      <c r="M40" s="1">
        <v>733540.59</v>
      </c>
      <c r="N40" s="122">
        <v>4017817.358</v>
      </c>
      <c r="O40" s="1">
        <v>963.173</v>
      </c>
      <c r="U40" s="130" t="s">
        <v>65</v>
      </c>
      <c r="V40" s="122" t="s">
        <v>114</v>
      </c>
    </row>
    <row r="41" spans="8:8" ht="15.0" customHeight="1">
      <c r="K41" s="2">
        <v>239.0</v>
      </c>
      <c r="L41" s="2">
        <v>273.8</v>
      </c>
      <c r="M41" s="1">
        <v>733539.823</v>
      </c>
      <c r="N41" s="122">
        <v>4017818.282</v>
      </c>
      <c r="O41" s="1">
        <v>963.191</v>
      </c>
      <c r="U41" s="130" t="s">
        <v>67</v>
      </c>
      <c r="V41" s="122" t="s">
        <v>115</v>
      </c>
    </row>
    <row r="42" spans="8:8" ht="15.0" customHeight="1">
      <c r="K42" s="2">
        <v>240.0</v>
      </c>
      <c r="L42" s="2">
        <v>275.0</v>
      </c>
      <c r="M42" s="1">
        <v>733539.057</v>
      </c>
      <c r="N42" s="122">
        <v>4017819.205</v>
      </c>
      <c r="O42" s="1">
        <v>963.209</v>
      </c>
      <c r="U42" s="130" t="s">
        <v>69</v>
      </c>
      <c r="V42" s="122" t="s">
        <v>116</v>
      </c>
    </row>
    <row r="43" spans="8:8" ht="15.0" customHeight="1">
      <c r="K43" s="2">
        <v>241.0</v>
      </c>
      <c r="L43" s="2">
        <v>276.2</v>
      </c>
      <c r="M43" s="1">
        <v>733538.291</v>
      </c>
      <c r="N43" s="122">
        <v>4017820.129</v>
      </c>
      <c r="O43" s="1">
        <v>963.226</v>
      </c>
      <c r="U43" s="130" t="s">
        <v>72</v>
      </c>
      <c r="V43" s="122" t="s">
        <v>117</v>
      </c>
    </row>
    <row r="44" spans="8:8" ht="25.5" customHeight="1">
      <c r="K44" s="2">
        <v>242.0</v>
      </c>
      <c r="L44" s="2">
        <v>277.4</v>
      </c>
      <c r="M44" s="1">
        <v>733537.525</v>
      </c>
      <c r="N44" s="122">
        <v>4017821.053</v>
      </c>
      <c r="O44" s="1">
        <v>963.244</v>
      </c>
      <c r="U44" s="130" t="s">
        <v>74</v>
      </c>
      <c r="V44" s="122" t="s">
        <v>118</v>
      </c>
    </row>
    <row r="45" spans="8:8" ht="15.0" customHeight="1">
      <c r="K45" s="2">
        <v>243.0</v>
      </c>
      <c r="L45" s="2">
        <v>278.6</v>
      </c>
      <c r="M45" s="1">
        <v>733536.759</v>
      </c>
      <c r="N45" s="122">
        <v>4017821.976</v>
      </c>
      <c r="O45" s="1">
        <v>963.262</v>
      </c>
      <c r="U45" s="130" t="s">
        <v>54</v>
      </c>
      <c r="V45" s="122" t="s">
        <v>119</v>
      </c>
    </row>
    <row r="46" spans="8:8" ht="15.0" customHeight="1">
      <c r="K46" s="2">
        <v>244.0</v>
      </c>
      <c r="L46" s="2">
        <v>279.8</v>
      </c>
      <c r="M46" s="1">
        <v>733535.993</v>
      </c>
      <c r="N46" s="122">
        <v>4017822.9</v>
      </c>
      <c r="O46" s="1">
        <v>963.28</v>
      </c>
      <c r="U46" s="130" t="s">
        <v>62</v>
      </c>
      <c r="V46" s="122" t="s">
        <v>120</v>
      </c>
    </row>
    <row r="47" spans="8:8" ht="15.0" customHeight="1">
      <c r="K47" s="2">
        <v>245.0</v>
      </c>
      <c r="L47" s="2">
        <v>281.0</v>
      </c>
      <c r="M47" s="1">
        <v>733535.227</v>
      </c>
      <c r="N47" s="122">
        <v>4017823.824</v>
      </c>
      <c r="O47" s="1">
        <v>963.298</v>
      </c>
      <c r="U47" s="130" t="s">
        <v>65</v>
      </c>
      <c r="V47" s="122" t="s">
        <v>121</v>
      </c>
    </row>
    <row r="48" spans="8:8" ht="15.0" customHeight="1">
      <c r="K48" s="2">
        <v>246.0</v>
      </c>
      <c r="L48" s="2">
        <v>282.2</v>
      </c>
      <c r="M48" s="1">
        <v>733534.461</v>
      </c>
      <c r="N48" s="122">
        <v>4017824.747</v>
      </c>
      <c r="O48" s="1">
        <v>963.316</v>
      </c>
      <c r="U48" s="130" t="s">
        <v>67</v>
      </c>
      <c r="V48" s="122" t="s">
        <v>122</v>
      </c>
    </row>
    <row r="49" spans="8:8" ht="15.0" customHeight="1">
      <c r="K49" s="2">
        <v>247.0</v>
      </c>
      <c r="L49" s="2">
        <v>283.4</v>
      </c>
      <c r="M49" s="1">
        <v>733533.695</v>
      </c>
      <c r="N49" s="122">
        <v>4017825.671</v>
      </c>
      <c r="O49" s="1">
        <v>963.333</v>
      </c>
      <c r="U49" s="130" t="s">
        <v>69</v>
      </c>
      <c r="V49" s="122" t="s">
        <v>123</v>
      </c>
    </row>
    <row r="50" spans="8:8" ht="15.0" customHeight="1">
      <c r="K50" s="2">
        <v>248.0</v>
      </c>
      <c r="L50" s="2">
        <v>284.6</v>
      </c>
      <c r="M50" s="1">
        <v>733532.929</v>
      </c>
      <c r="N50" s="122">
        <v>4017826.595</v>
      </c>
      <c r="O50" s="1">
        <v>963.351</v>
      </c>
      <c r="U50" s="130" t="s">
        <v>72</v>
      </c>
      <c r="V50" s="122" t="s">
        <v>124</v>
      </c>
    </row>
    <row r="51" spans="8:8" ht="15.0" customHeight="1">
      <c r="K51" s="2">
        <v>249.0</v>
      </c>
      <c r="L51" s="2">
        <v>285.8</v>
      </c>
      <c r="M51" s="1">
        <v>733532.163</v>
      </c>
      <c r="N51" s="122">
        <v>4017827.518</v>
      </c>
      <c r="O51" s="1">
        <v>963.369</v>
      </c>
      <c r="U51" s="130" t="s">
        <v>74</v>
      </c>
      <c r="V51" s="122" t="s">
        <v>125</v>
      </c>
    </row>
    <row r="52" spans="8:8" ht="15.0" customHeight="1">
      <c r="K52" s="2">
        <v>250.0</v>
      </c>
      <c r="L52" s="2">
        <v>287.0</v>
      </c>
      <c r="M52" s="1">
        <v>733531.397</v>
      </c>
      <c r="N52" s="122">
        <v>4017828.442</v>
      </c>
      <c r="O52" s="1">
        <v>963.387</v>
      </c>
      <c r="U52" s="130" t="s">
        <v>54</v>
      </c>
      <c r="V52" s="122" t="s">
        <v>126</v>
      </c>
    </row>
    <row r="53" spans="8:8" ht="15.0" customHeight="1">
      <c r="K53" s="2">
        <v>251.0</v>
      </c>
      <c r="L53" s="2">
        <v>288.2</v>
      </c>
      <c r="M53" s="1">
        <v>733530.631</v>
      </c>
      <c r="N53" s="122">
        <v>4017829.366</v>
      </c>
      <c r="O53" s="1">
        <v>963.405</v>
      </c>
      <c r="U53" s="130" t="s">
        <v>62</v>
      </c>
      <c r="V53" s="122" t="s">
        <v>127</v>
      </c>
    </row>
    <row r="54" spans="8:8" ht="15.0" customHeight="1">
      <c r="K54" s="2">
        <v>252.0</v>
      </c>
      <c r="L54" s="2">
        <v>289.4</v>
      </c>
      <c r="M54" s="1">
        <v>733529.865</v>
      </c>
      <c r="N54" s="122">
        <v>4017830.289</v>
      </c>
      <c r="O54" s="1">
        <v>963.423</v>
      </c>
      <c r="U54" s="130" t="s">
        <v>65</v>
      </c>
      <c r="V54" s="122" t="s">
        <v>128</v>
      </c>
    </row>
    <row r="55" spans="8:8" ht="15.0" customHeight="1">
      <c r="K55" s="2">
        <v>253.0</v>
      </c>
      <c r="L55" s="2">
        <v>290.6</v>
      </c>
      <c r="M55" s="1">
        <v>733529.107</v>
      </c>
      <c r="N55" s="122">
        <v>4017831.22</v>
      </c>
      <c r="O55" s="1">
        <v>963.44</v>
      </c>
      <c r="U55" s="130" t="s">
        <v>67</v>
      </c>
      <c r="V55" s="122" t="s">
        <v>129</v>
      </c>
    </row>
    <row r="56" spans="8:8" ht="15.0" customHeight="1">
      <c r="K56" s="2">
        <v>254.0</v>
      </c>
      <c r="L56" s="2">
        <v>291.8</v>
      </c>
      <c r="M56" s="1">
        <v>733528.358</v>
      </c>
      <c r="N56" s="122">
        <v>4017832.157</v>
      </c>
      <c r="O56" s="1">
        <v>963.458</v>
      </c>
      <c r="U56" s="130" t="s">
        <v>69</v>
      </c>
      <c r="V56" s="122" t="s">
        <v>130</v>
      </c>
    </row>
    <row r="57" spans="8:8" ht="15.0" customHeight="1">
      <c r="K57" s="2">
        <v>255.0</v>
      </c>
      <c r="L57" s="2">
        <v>293.0</v>
      </c>
      <c r="M57" s="1">
        <v>733527.609</v>
      </c>
      <c r="N57" s="122">
        <v>4017833.095</v>
      </c>
      <c r="O57" s="1">
        <v>963.476</v>
      </c>
      <c r="U57" s="130" t="s">
        <v>72</v>
      </c>
      <c r="V57" s="122" t="s">
        <v>131</v>
      </c>
    </row>
    <row r="58" spans="8:8" ht="15.0" customHeight="1">
      <c r="K58" s="2">
        <v>256.0</v>
      </c>
      <c r="L58" s="2">
        <v>294.2</v>
      </c>
      <c r="M58" s="1">
        <v>733526.86</v>
      </c>
      <c r="N58" s="122">
        <v>4017834.032</v>
      </c>
      <c r="O58" s="1">
        <v>963.494</v>
      </c>
      <c r="U58" s="130" t="s">
        <v>74</v>
      </c>
      <c r="V58" s="122" t="s">
        <v>132</v>
      </c>
    </row>
    <row r="59" spans="8:8" ht="15.0" customHeight="1">
      <c r="K59" s="2">
        <v>257.0</v>
      </c>
      <c r="L59" s="2">
        <v>295.4</v>
      </c>
      <c r="M59" s="1">
        <v>733526.111</v>
      </c>
      <c r="N59" s="122">
        <v>4017834.97</v>
      </c>
      <c r="O59" s="1">
        <v>963.512</v>
      </c>
      <c r="U59" s="130" t="s">
        <v>54</v>
      </c>
      <c r="V59" s="122" t="s">
        <v>133</v>
      </c>
    </row>
    <row r="60" spans="8:8" ht="15.0" customHeight="1">
      <c r="K60" s="2">
        <v>258.0</v>
      </c>
      <c r="L60" s="2">
        <v>296.6</v>
      </c>
      <c r="M60" s="1">
        <v>733525.362</v>
      </c>
      <c r="N60" s="122">
        <v>4017835.907</v>
      </c>
      <c r="O60" s="1">
        <v>963.53</v>
      </c>
      <c r="U60" s="130" t="s">
        <v>62</v>
      </c>
      <c r="V60" s="122" t="s">
        <v>134</v>
      </c>
    </row>
    <row r="61" spans="8:8" ht="15.0" customHeight="1">
      <c r="K61" s="2">
        <v>259.0</v>
      </c>
      <c r="L61" s="2">
        <v>297.8</v>
      </c>
      <c r="M61" s="1">
        <v>733524.613</v>
      </c>
      <c r="N61" s="122">
        <v>4017836.845</v>
      </c>
      <c r="O61" s="1">
        <v>963.547</v>
      </c>
      <c r="U61" s="130" t="s">
        <v>65</v>
      </c>
      <c r="V61" s="122" t="s">
        <v>135</v>
      </c>
    </row>
    <row r="62" spans="8:8" ht="15.0" customHeight="1">
      <c r="K62" s="2">
        <v>260.0</v>
      </c>
      <c r="L62" s="2">
        <v>299.0</v>
      </c>
      <c r="M62" s="1">
        <v>733523.864</v>
      </c>
      <c r="N62" s="122">
        <v>4017837.782</v>
      </c>
      <c r="O62" s="1">
        <v>963.565</v>
      </c>
      <c r="U62" s="130" t="s">
        <v>67</v>
      </c>
      <c r="V62" s="122" t="s">
        <v>136</v>
      </c>
    </row>
    <row r="63" spans="8:8" ht="15.0" customHeight="1">
      <c r="K63" s="2">
        <v>261.0</v>
      </c>
      <c r="L63" s="2">
        <v>300.2</v>
      </c>
      <c r="M63" s="1">
        <v>733523.115</v>
      </c>
      <c r="N63" s="122">
        <v>4017838.72</v>
      </c>
      <c r="O63" s="1">
        <v>963.583</v>
      </c>
      <c r="U63" s="130" t="s">
        <v>69</v>
      </c>
      <c r="V63" s="122" t="s">
        <v>137</v>
      </c>
    </row>
    <row r="64" spans="8:8" ht="15.0" customHeight="1">
      <c r="K64" s="2">
        <v>262.0</v>
      </c>
      <c r="L64" s="2">
        <v>301.4</v>
      </c>
      <c r="M64" s="1">
        <v>733522.366</v>
      </c>
      <c r="N64" s="122">
        <v>4017839.658</v>
      </c>
      <c r="O64" s="1">
        <v>963.601</v>
      </c>
      <c r="U64" s="130" t="s">
        <v>72</v>
      </c>
      <c r="V64" s="122" t="s">
        <v>138</v>
      </c>
    </row>
    <row r="65" spans="8:8" ht="15.0" customHeight="1">
      <c r="K65" s="2">
        <v>263.0</v>
      </c>
      <c r="L65" s="2">
        <v>302.6</v>
      </c>
      <c r="M65" s="1">
        <v>733521.617</v>
      </c>
      <c r="N65" s="122">
        <v>4017840.595</v>
      </c>
      <c r="O65" s="1">
        <v>963.619</v>
      </c>
      <c r="U65" s="130" t="s">
        <v>74</v>
      </c>
      <c r="V65" s="122" t="s">
        <v>139</v>
      </c>
    </row>
    <row r="66" spans="8:8" ht="15.0" customHeight="1">
      <c r="K66" s="2">
        <v>264.0</v>
      </c>
      <c r="L66" s="2">
        <v>303.8</v>
      </c>
      <c r="M66" s="1">
        <v>733520.868</v>
      </c>
      <c r="N66" s="122">
        <v>4017841.533</v>
      </c>
      <c r="O66" s="1">
        <v>963.637</v>
      </c>
      <c r="U66" s="130" t="s">
        <v>54</v>
      </c>
      <c r="V66" s="122" t="s">
        <v>140</v>
      </c>
    </row>
    <row r="67" spans="8:8" ht="15.0" customHeight="1">
      <c r="K67" s="2">
        <v>265.0</v>
      </c>
      <c r="L67" s="2">
        <v>305.0</v>
      </c>
      <c r="M67" s="1">
        <v>733520.119</v>
      </c>
      <c r="N67" s="122">
        <v>4017842.47</v>
      </c>
      <c r="O67" s="1">
        <v>963.662</v>
      </c>
      <c r="U67" s="130" t="s">
        <v>62</v>
      </c>
      <c r="V67" s="122" t="s">
        <v>141</v>
      </c>
    </row>
    <row r="68" spans="8:8" ht="15.0" customHeight="1">
      <c r="K68" s="2">
        <v>266.0</v>
      </c>
      <c r="L68" s="2">
        <v>306.2</v>
      </c>
      <c r="M68" s="1">
        <v>733519.37</v>
      </c>
      <c r="N68" s="122">
        <v>4017843.408</v>
      </c>
      <c r="O68" s="1">
        <v>963.682</v>
      </c>
      <c r="U68" s="130" t="s">
        <v>65</v>
      </c>
      <c r="V68" s="122" t="s">
        <v>142</v>
      </c>
    </row>
    <row r="69" spans="8:8" ht="15.0" customHeight="1">
      <c r="K69" s="2">
        <v>267.0</v>
      </c>
      <c r="L69" s="2">
        <v>307.4</v>
      </c>
      <c r="M69" s="1">
        <v>733518.621</v>
      </c>
      <c r="N69" s="122">
        <v>4017844.345</v>
      </c>
      <c r="O69" s="1">
        <v>963.702</v>
      </c>
      <c r="U69" s="130" t="s">
        <v>67</v>
      </c>
      <c r="V69" s="122" t="s">
        <v>143</v>
      </c>
    </row>
    <row r="70" spans="8:8" ht="15.0" customHeight="1">
      <c r="K70" s="2">
        <v>268.0</v>
      </c>
      <c r="L70" s="2">
        <v>308.6</v>
      </c>
      <c r="M70" s="1">
        <v>733517.872</v>
      </c>
      <c r="N70" s="122">
        <v>4017845.283</v>
      </c>
      <c r="O70" s="1">
        <v>963.722</v>
      </c>
      <c r="U70" s="130" t="s">
        <v>69</v>
      </c>
      <c r="V70" s="122" t="s">
        <v>144</v>
      </c>
    </row>
    <row r="71" spans="8:8" ht="15.0" customHeight="1">
      <c r="K71" s="2">
        <v>269.0</v>
      </c>
      <c r="L71" s="2">
        <v>309.8</v>
      </c>
      <c r="M71" s="1">
        <v>733517.123</v>
      </c>
      <c r="N71" s="122">
        <v>4017846.22</v>
      </c>
      <c r="O71" s="1">
        <v>963.742</v>
      </c>
      <c r="U71" s="130" t="s">
        <v>72</v>
      </c>
      <c r="V71" s="122" t="s">
        <v>145</v>
      </c>
    </row>
    <row r="72" spans="8:8" ht="15.0" customHeight="1">
      <c r="K72" s="2">
        <v>270.0</v>
      </c>
      <c r="L72" s="2">
        <v>311.0</v>
      </c>
      <c r="M72" s="1">
        <v>733516.374</v>
      </c>
      <c r="N72" s="122">
        <v>4017847.158</v>
      </c>
      <c r="O72" s="1">
        <v>963.762</v>
      </c>
      <c r="U72" s="130" t="s">
        <v>74</v>
      </c>
      <c r="V72" s="122" t="s">
        <v>146</v>
      </c>
    </row>
    <row r="73" spans="8:8" ht="15.0" customHeight="1">
      <c r="K73" s="2">
        <v>271.0</v>
      </c>
      <c r="L73" s="2">
        <v>312.2</v>
      </c>
      <c r="M73" s="1">
        <v>733515.625</v>
      </c>
      <c r="N73" s="122">
        <v>4017848.095</v>
      </c>
      <c r="O73" s="1">
        <v>963.782</v>
      </c>
      <c r="U73" s="130" t="s">
        <v>54</v>
      </c>
      <c r="V73" s="122" t="s">
        <v>147</v>
      </c>
    </row>
    <row r="74" spans="8:8" ht="15.0" customHeight="1">
      <c r="K74" s="2">
        <v>272.0</v>
      </c>
      <c r="L74" s="2">
        <v>313.4</v>
      </c>
      <c r="M74" s="1">
        <v>733514.876</v>
      </c>
      <c r="N74" s="122">
        <v>4017849.033</v>
      </c>
      <c r="O74" s="1">
        <v>963.802</v>
      </c>
      <c r="U74" s="130" t="s">
        <v>62</v>
      </c>
      <c r="V74" s="122" t="s">
        <v>148</v>
      </c>
    </row>
    <row r="75" spans="8:8" ht="15.0" customHeight="1">
      <c r="K75" s="2">
        <v>273.0</v>
      </c>
      <c r="L75" s="2">
        <v>314.6</v>
      </c>
      <c r="M75" s="1">
        <v>733514.127</v>
      </c>
      <c r="N75" s="122">
        <v>4017849.971</v>
      </c>
      <c r="O75" s="1">
        <v>963.822</v>
      </c>
      <c r="U75" s="130" t="s">
        <v>65</v>
      </c>
      <c r="V75" s="122" t="s">
        <v>149</v>
      </c>
    </row>
    <row r="76" spans="8:8" ht="15.0" customHeight="1">
      <c r="K76" s="2">
        <v>274.0</v>
      </c>
      <c r="L76" s="2">
        <v>315.8</v>
      </c>
      <c r="M76" s="1">
        <v>733513.382</v>
      </c>
      <c r="N76" s="122">
        <v>4017850.911</v>
      </c>
      <c r="O76" s="1">
        <v>963.842</v>
      </c>
      <c r="U76" s="130" t="s">
        <v>67</v>
      </c>
      <c r="V76" s="122" t="s">
        <v>150</v>
      </c>
    </row>
    <row r="77" spans="8:8" ht="15.0" customHeight="1">
      <c r="K77" s="2">
        <v>275.0</v>
      </c>
      <c r="L77" s="2">
        <v>317.0</v>
      </c>
      <c r="M77" s="1">
        <v>733512.717</v>
      </c>
      <c r="N77" s="122">
        <v>4017851.91</v>
      </c>
      <c r="O77" s="1">
        <v>963.862</v>
      </c>
      <c r="U77" s="130" t="s">
        <v>69</v>
      </c>
      <c r="V77" s="122" t="s">
        <v>151</v>
      </c>
    </row>
    <row r="78" spans="8:8" ht="15.0" customHeight="1">
      <c r="K78" s="2">
        <v>276.0</v>
      </c>
      <c r="L78" s="2">
        <v>318.2</v>
      </c>
      <c r="M78" s="1">
        <v>733512.041</v>
      </c>
      <c r="N78" s="122">
        <v>4017852.901</v>
      </c>
      <c r="O78" s="1">
        <v>963.882</v>
      </c>
      <c r="U78" s="130" t="s">
        <v>72</v>
      </c>
      <c r="V78" s="122" t="s">
        <v>152</v>
      </c>
    </row>
    <row r="79" spans="8:8" ht="15.0" customHeight="1">
      <c r="K79" s="2">
        <v>277.0</v>
      </c>
      <c r="L79" s="2">
        <v>319.4</v>
      </c>
      <c r="M79" s="1">
        <v>733511.353</v>
      </c>
      <c r="N79" s="122">
        <v>4017853.885</v>
      </c>
      <c r="O79" s="1">
        <v>963.902</v>
      </c>
      <c r="U79" s="130" t="s">
        <v>74</v>
      </c>
      <c r="V79" s="122" t="s">
        <v>153</v>
      </c>
    </row>
    <row r="80" spans="8:8" ht="15.0" customHeight="1">
      <c r="K80" s="2">
        <v>278.0</v>
      </c>
      <c r="L80" s="2">
        <v>320.6</v>
      </c>
      <c r="M80" s="1">
        <v>733510.654</v>
      </c>
      <c r="N80" s="122">
        <v>4017854.86</v>
      </c>
      <c r="O80" s="1">
        <v>963.922</v>
      </c>
      <c r="U80" s="130" t="s">
        <v>54</v>
      </c>
      <c r="V80" s="122" t="s">
        <v>154</v>
      </c>
    </row>
    <row r="81" spans="8:8" ht="15.0" customHeight="1">
      <c r="K81" s="2">
        <v>279.0</v>
      </c>
      <c r="L81" s="2">
        <v>321.8</v>
      </c>
      <c r="M81" s="1">
        <v>733509.944</v>
      </c>
      <c r="N81" s="122">
        <v>4017855.828</v>
      </c>
      <c r="O81" s="1">
        <v>963.94</v>
      </c>
      <c r="U81" s="130" t="s">
        <v>62</v>
      </c>
      <c r="V81" s="122" t="s">
        <v>155</v>
      </c>
    </row>
    <row r="82" spans="8:8" ht="15.0" customHeight="1">
      <c r="K82" s="2">
        <v>280.0</v>
      </c>
      <c r="L82" s="2">
        <v>323.0</v>
      </c>
      <c r="M82" s="1">
        <v>733509.238</v>
      </c>
      <c r="N82" s="122">
        <v>4017856.798</v>
      </c>
      <c r="O82" s="1">
        <v>963.958</v>
      </c>
      <c r="U82" s="130" t="s">
        <v>65</v>
      </c>
      <c r="V82" s="122" t="s">
        <v>156</v>
      </c>
    </row>
    <row r="83" spans="8:8" ht="15.0" customHeight="1">
      <c r="K83" s="2">
        <v>281.0</v>
      </c>
      <c r="L83" s="2">
        <v>324.2</v>
      </c>
      <c r="M83" s="1">
        <v>733508.541</v>
      </c>
      <c r="N83" s="122">
        <v>4017857.775</v>
      </c>
      <c r="O83" s="1">
        <v>963.975</v>
      </c>
      <c r="U83" s="130" t="s">
        <v>67</v>
      </c>
      <c r="V83" s="122" t="s">
        <v>157</v>
      </c>
    </row>
    <row r="84" spans="8:8" ht="15.0" customHeight="1">
      <c r="K84" s="2">
        <v>282.0</v>
      </c>
      <c r="L84" s="2">
        <v>325.4</v>
      </c>
      <c r="M84" s="1">
        <v>733507.844</v>
      </c>
      <c r="N84" s="122">
        <v>4017858.752</v>
      </c>
      <c r="O84" s="1">
        <v>963.993</v>
      </c>
      <c r="U84" s="130" t="s">
        <v>69</v>
      </c>
      <c r="V84" s="122" t="s">
        <v>158</v>
      </c>
    </row>
    <row r="85" spans="8:8" ht="15.0" customHeight="1">
      <c r="K85" s="2">
        <v>283.0</v>
      </c>
      <c r="L85" s="2">
        <v>326.6</v>
      </c>
      <c r="M85" s="1">
        <v>733507.147</v>
      </c>
      <c r="N85" s="122">
        <v>4017859.728</v>
      </c>
      <c r="O85" s="1">
        <v>964.011</v>
      </c>
      <c r="U85" s="130" t="s">
        <v>72</v>
      </c>
      <c r="V85" s="122" t="s">
        <v>159</v>
      </c>
    </row>
    <row r="86" spans="8:8" ht="15.0" customHeight="1">
      <c r="K86" s="2">
        <v>284.0</v>
      </c>
      <c r="L86" s="2">
        <v>327.8</v>
      </c>
      <c r="M86" s="1">
        <v>733506.45</v>
      </c>
      <c r="N86" s="122">
        <v>4017860.705</v>
      </c>
      <c r="O86" s="1">
        <v>964.029</v>
      </c>
      <c r="U86" s="130" t="s">
        <v>74</v>
      </c>
      <c r="V86" s="122" t="s">
        <v>160</v>
      </c>
    </row>
    <row r="87" spans="8:8" ht="15.0" customHeight="1">
      <c r="K87" s="2">
        <v>285.0</v>
      </c>
      <c r="L87" s="2">
        <v>329.0</v>
      </c>
      <c r="M87" s="1">
        <v>733505.753</v>
      </c>
      <c r="N87" s="122">
        <v>4017861.682</v>
      </c>
      <c r="O87" s="1">
        <v>964.047</v>
      </c>
      <c r="U87" s="130" t="s">
        <v>54</v>
      </c>
      <c r="V87" s="122" t="s">
        <v>161</v>
      </c>
    </row>
    <row r="88" spans="8:8" ht="15.0" customHeight="1">
      <c r="K88" s="2">
        <v>286.0</v>
      </c>
      <c r="L88" s="2">
        <v>330.2</v>
      </c>
      <c r="M88" s="1">
        <v>733505.056</v>
      </c>
      <c r="N88" s="122">
        <v>4017862.659</v>
      </c>
      <c r="O88" s="1">
        <v>964.065</v>
      </c>
      <c r="U88" s="130" t="s">
        <v>62</v>
      </c>
      <c r="V88" s="122" t="s">
        <v>162</v>
      </c>
    </row>
    <row r="89" spans="8:8" ht="15.0" customHeight="1">
      <c r="K89" s="2">
        <v>287.0</v>
      </c>
      <c r="L89" s="2">
        <v>331.4</v>
      </c>
      <c r="M89" s="1">
        <v>733504.359</v>
      </c>
      <c r="N89" s="122">
        <v>4017863.635</v>
      </c>
      <c r="O89" s="1">
        <v>964.082</v>
      </c>
      <c r="U89" s="130" t="s">
        <v>65</v>
      </c>
      <c r="V89" s="122" t="s">
        <v>163</v>
      </c>
    </row>
    <row r="90" spans="8:8" ht="15.0" customHeight="1">
      <c r="K90" s="2">
        <v>288.0</v>
      </c>
      <c r="L90" s="2">
        <v>332.6</v>
      </c>
      <c r="M90" s="1">
        <v>733503.662</v>
      </c>
      <c r="N90" s="122">
        <v>4017864.612</v>
      </c>
      <c r="O90" s="1">
        <v>964.1</v>
      </c>
      <c r="U90" s="130" t="s">
        <v>67</v>
      </c>
      <c r="V90" s="122" t="s">
        <v>164</v>
      </c>
    </row>
    <row r="91" spans="8:8" ht="15.0" customHeight="1">
      <c r="K91" s="2">
        <v>289.0</v>
      </c>
      <c r="L91" s="2">
        <v>333.8</v>
      </c>
      <c r="M91" s="1">
        <v>733502.965</v>
      </c>
      <c r="N91" s="122">
        <v>4017865.589</v>
      </c>
      <c r="O91" s="1">
        <v>964.118</v>
      </c>
      <c r="U91" s="130" t="s">
        <v>69</v>
      </c>
      <c r="V91" s="122" t="s">
        <v>165</v>
      </c>
    </row>
    <row r="92" spans="8:8" ht="15.0" customHeight="1">
      <c r="K92" s="2">
        <v>290.0</v>
      </c>
      <c r="L92" s="2">
        <v>335.0</v>
      </c>
      <c r="M92" s="1">
        <v>733502.268</v>
      </c>
      <c r="N92" s="122">
        <v>4017866.566</v>
      </c>
      <c r="O92" s="1">
        <v>964.136</v>
      </c>
      <c r="U92" s="130" t="s">
        <v>72</v>
      </c>
      <c r="V92" s="122" t="s">
        <v>166</v>
      </c>
    </row>
    <row r="93" spans="8:8" ht="15.0" customHeight="1">
      <c r="K93" s="2">
        <v>291.0</v>
      </c>
      <c r="L93" s="2">
        <v>336.2</v>
      </c>
      <c r="M93" s="1">
        <v>733501.571</v>
      </c>
      <c r="N93" s="122">
        <v>4017867.543</v>
      </c>
      <c r="O93" s="1">
        <v>964.154</v>
      </c>
      <c r="U93" s="130" t="s">
        <v>74</v>
      </c>
      <c r="V93" s="122" t="s">
        <v>167</v>
      </c>
    </row>
    <row r="94" spans="8:8" ht="15.0" customHeight="1">
      <c r="K94" s="2">
        <v>292.0</v>
      </c>
      <c r="L94" s="2">
        <v>337.4</v>
      </c>
      <c r="M94" s="1">
        <v>733500.874</v>
      </c>
      <c r="N94" s="122">
        <v>4017868.519</v>
      </c>
      <c r="O94" s="1">
        <v>964.172</v>
      </c>
      <c r="U94" s="130" t="s">
        <v>54</v>
      </c>
      <c r="V94" s="122" t="s">
        <v>168</v>
      </c>
    </row>
    <row r="95" spans="8:8" ht="15.0" customHeight="1">
      <c r="K95" s="2">
        <v>293.0</v>
      </c>
      <c r="L95" s="2">
        <v>338.6</v>
      </c>
      <c r="M95" s="1">
        <v>733500.177</v>
      </c>
      <c r="N95" s="122">
        <v>4017869.496</v>
      </c>
      <c r="O95" s="1">
        <v>964.189</v>
      </c>
      <c r="U95" s="130" t="s">
        <v>62</v>
      </c>
      <c r="V95" s="122" t="s">
        <v>169</v>
      </c>
    </row>
    <row r="96" spans="8:8" ht="15.0" customHeight="1">
      <c r="K96" s="2">
        <v>294.0</v>
      </c>
      <c r="L96" s="2">
        <v>339.8</v>
      </c>
      <c r="M96" s="1">
        <v>733499.48</v>
      </c>
      <c r="N96" s="122">
        <v>4017870.473</v>
      </c>
      <c r="O96" s="1">
        <v>964.207</v>
      </c>
      <c r="U96" s="130" t="s">
        <v>65</v>
      </c>
      <c r="V96" s="122" t="s">
        <v>170</v>
      </c>
    </row>
    <row r="97" spans="8:8" ht="15.0" customHeight="1">
      <c r="K97" s="2">
        <v>295.0</v>
      </c>
      <c r="L97" s="2">
        <v>341.0</v>
      </c>
      <c r="M97" s="1">
        <v>733498.783</v>
      </c>
      <c r="N97" s="122">
        <v>4017871.45</v>
      </c>
      <c r="O97" s="1">
        <v>964.225</v>
      </c>
      <c r="U97" s="130" t="s">
        <v>67</v>
      </c>
      <c r="V97" s="122" t="s">
        <v>171</v>
      </c>
    </row>
    <row r="98" spans="8:8" ht="15.0" customHeight="1">
      <c r="K98" s="2">
        <v>296.0</v>
      </c>
      <c r="L98" s="2">
        <v>342.2</v>
      </c>
      <c r="M98" s="1">
        <v>733498.086</v>
      </c>
      <c r="N98" s="122">
        <v>4017872.427</v>
      </c>
      <c r="O98" s="1">
        <v>964.243</v>
      </c>
      <c r="U98" s="130" t="s">
        <v>69</v>
      </c>
      <c r="V98" s="122" t="s">
        <v>172</v>
      </c>
    </row>
    <row r="99" spans="8:8" ht="15.0" customHeight="1">
      <c r="K99" s="2">
        <v>297.0</v>
      </c>
      <c r="L99" s="2">
        <v>343.4</v>
      </c>
      <c r="M99" s="1">
        <v>733497.389</v>
      </c>
      <c r="N99" s="122">
        <v>4017873.403</v>
      </c>
      <c r="O99" s="1">
        <v>964.261</v>
      </c>
      <c r="U99" s="130" t="s">
        <v>72</v>
      </c>
      <c r="V99" s="122" t="s">
        <v>173</v>
      </c>
    </row>
    <row r="100" spans="8:8" ht="15.0" customHeight="1">
      <c r="K100" s="2">
        <v>298.0</v>
      </c>
      <c r="L100" s="2">
        <v>344.6</v>
      </c>
      <c r="M100" s="1">
        <v>733496.691</v>
      </c>
      <c r="N100" s="122">
        <v>4017874.38</v>
      </c>
      <c r="O100" s="1">
        <v>964.279</v>
      </c>
      <c r="U100" s="130" t="s">
        <v>74</v>
      </c>
      <c r="V100" s="122" t="s">
        <v>174</v>
      </c>
    </row>
    <row r="101" spans="8:8" ht="15.0" customHeight="1">
      <c r="K101" s="2">
        <v>299.0</v>
      </c>
      <c r="L101" s="2">
        <v>345.8</v>
      </c>
      <c r="M101" s="1">
        <v>733495.994</v>
      </c>
      <c r="N101" s="122">
        <v>4017875.357</v>
      </c>
      <c r="O101" s="1">
        <v>964.296</v>
      </c>
      <c r="U101" s="130" t="s">
        <v>54</v>
      </c>
      <c r="V101" s="122" t="s">
        <v>175</v>
      </c>
    </row>
    <row r="102" spans="8:8" ht="15.0" customHeight="1">
      <c r="K102" s="2">
        <v>300.0</v>
      </c>
      <c r="L102" s="2">
        <v>347.0</v>
      </c>
      <c r="M102" s="1">
        <v>733495.297</v>
      </c>
      <c r="N102" s="122">
        <v>4017876.334</v>
      </c>
      <c r="O102" s="1">
        <v>964.314</v>
      </c>
      <c r="U102" s="130" t="s">
        <v>62</v>
      </c>
      <c r="V102" s="122" t="s">
        <v>176</v>
      </c>
    </row>
    <row r="103" spans="8:8" ht="15.0" customHeight="1">
      <c r="K103" s="2">
        <v>301.0</v>
      </c>
      <c r="L103" s="2">
        <v>348.2</v>
      </c>
      <c r="M103" s="1">
        <v>733494.6</v>
      </c>
      <c r="N103" s="122">
        <v>4017877.311</v>
      </c>
      <c r="O103" s="1">
        <v>964.332</v>
      </c>
      <c r="U103" s="130" t="s">
        <v>65</v>
      </c>
      <c r="V103" s="122" t="s">
        <v>177</v>
      </c>
    </row>
    <row r="104" spans="8:8" ht="15.0" customHeight="1">
      <c r="K104" s="2">
        <v>302.0</v>
      </c>
      <c r="L104" s="2">
        <v>349.4</v>
      </c>
      <c r="M104" s="1">
        <v>733493.903</v>
      </c>
      <c r="N104" s="122">
        <v>4017878.287</v>
      </c>
      <c r="O104" s="1">
        <v>964.35</v>
      </c>
      <c r="U104" s="130" t="s">
        <v>67</v>
      </c>
      <c r="V104" s="122" t="s">
        <v>178</v>
      </c>
    </row>
    <row r="105" spans="8:8" ht="15.0" customHeight="1">
      <c r="K105" s="2">
        <v>303.0</v>
      </c>
      <c r="L105" s="2">
        <v>350.6</v>
      </c>
      <c r="M105" s="1">
        <v>733493.206</v>
      </c>
      <c r="N105" s="122">
        <v>4017879.264</v>
      </c>
      <c r="O105" s="1">
        <v>964.368</v>
      </c>
      <c r="U105" s="130" t="s">
        <v>69</v>
      </c>
      <c r="V105" s="122" t="s">
        <v>179</v>
      </c>
    </row>
    <row r="106" spans="8:8" ht="15.0" customHeight="1">
      <c r="K106" s="2">
        <v>304.0</v>
      </c>
      <c r="L106" s="2">
        <v>351.8</v>
      </c>
      <c r="M106" s="1">
        <v>733492.509</v>
      </c>
      <c r="N106" s="122">
        <v>4017880.241</v>
      </c>
      <c r="O106" s="1">
        <v>964.386</v>
      </c>
      <c r="U106" s="130" t="s">
        <v>72</v>
      </c>
      <c r="V106" s="122" t="s">
        <v>180</v>
      </c>
    </row>
    <row r="107" spans="8:8" ht="15.0" customHeight="1">
      <c r="K107" s="2">
        <v>305.0</v>
      </c>
      <c r="L107" s="2">
        <v>353.0</v>
      </c>
      <c r="M107" s="1">
        <v>733491.812</v>
      </c>
      <c r="N107" s="122">
        <v>4017881.218</v>
      </c>
      <c r="O107" s="1">
        <v>964.403</v>
      </c>
      <c r="U107" s="130" t="s">
        <v>74</v>
      </c>
      <c r="V107" s="122" t="s">
        <v>181</v>
      </c>
    </row>
    <row r="108" spans="8:8" ht="15.0" customHeight="1">
      <c r="K108" s="2">
        <v>306.0</v>
      </c>
      <c r="L108" s="2">
        <v>354.2</v>
      </c>
      <c r="M108" s="1">
        <v>733491.115</v>
      </c>
      <c r="N108" s="122">
        <v>4017882.194</v>
      </c>
      <c r="O108" s="1">
        <v>964.421</v>
      </c>
      <c r="U108" s="130" t="s">
        <v>54</v>
      </c>
      <c r="V108" s="122" t="s">
        <v>182</v>
      </c>
    </row>
    <row r="109" spans="8:8" ht="15.0" customHeight="1">
      <c r="K109" s="2">
        <v>307.0</v>
      </c>
      <c r="L109" s="2">
        <v>355.4</v>
      </c>
      <c r="M109" s="1">
        <v>733490.406</v>
      </c>
      <c r="N109" s="122">
        <v>4017883.162</v>
      </c>
      <c r="O109" s="1">
        <v>964.439</v>
      </c>
      <c r="U109" s="130" t="s">
        <v>62</v>
      </c>
      <c r="V109" s="122" t="s">
        <v>183</v>
      </c>
    </row>
    <row r="110" spans="8:8" ht="15.0" customHeight="1">
      <c r="K110" s="2">
        <v>308.0</v>
      </c>
      <c r="L110" s="2">
        <v>356.6</v>
      </c>
      <c r="M110" s="1">
        <v>733489.681</v>
      </c>
      <c r="N110" s="122">
        <v>4017884.119</v>
      </c>
      <c r="O110" s="1">
        <v>964.457</v>
      </c>
      <c r="U110" s="130" t="s">
        <v>65</v>
      </c>
      <c r="V110" s="122" t="s">
        <v>184</v>
      </c>
    </row>
    <row r="111" spans="8:8" ht="15.0" customHeight="1">
      <c r="K111" s="2">
        <v>309.0</v>
      </c>
      <c r="L111" s="2">
        <v>357.8</v>
      </c>
      <c r="M111" s="1">
        <v>733488.94</v>
      </c>
      <c r="N111" s="122">
        <v>4017885.063</v>
      </c>
      <c r="O111" s="1">
        <v>964.475</v>
      </c>
      <c r="U111" s="130" t="s">
        <v>67</v>
      </c>
      <c r="V111" s="122" t="s">
        <v>185</v>
      </c>
    </row>
    <row r="112" spans="8:8" ht="15.0" customHeight="1">
      <c r="K112" s="2">
        <v>310.0</v>
      </c>
      <c r="L112" s="2">
        <v>359.0</v>
      </c>
      <c r="M112" s="1">
        <v>733488.185</v>
      </c>
      <c r="N112" s="122">
        <v>4017885.995</v>
      </c>
      <c r="O112" s="1">
        <v>964.493</v>
      </c>
      <c r="U112" s="130" t="s">
        <v>69</v>
      </c>
      <c r="V112" s="122" t="s">
        <v>186</v>
      </c>
    </row>
    <row r="113" spans="8:8" ht="15.0" customHeight="1">
      <c r="K113" s="2">
        <v>311.0</v>
      </c>
      <c r="L113" s="2">
        <v>360.2</v>
      </c>
      <c r="M113" s="1">
        <v>733487.413</v>
      </c>
      <c r="N113" s="122">
        <v>4017886.914</v>
      </c>
      <c r="O113" s="1">
        <v>964.504</v>
      </c>
      <c r="U113" s="130" t="s">
        <v>72</v>
      </c>
      <c r="V113" s="122" t="s">
        <v>187</v>
      </c>
    </row>
    <row r="114" spans="8:8" ht="15.0" customHeight="1">
      <c r="K114" s="2">
        <v>312.0</v>
      </c>
      <c r="L114" s="2">
        <v>361.4</v>
      </c>
      <c r="M114" s="1">
        <v>733486.625</v>
      </c>
      <c r="N114" s="122">
        <v>4017887.819</v>
      </c>
      <c r="O114" s="1">
        <v>964.51</v>
      </c>
      <c r="U114" s="130" t="s">
        <v>74</v>
      </c>
      <c r="V114" s="122" t="s">
        <v>188</v>
      </c>
    </row>
    <row r="115" spans="8:8" ht="15.0" customHeight="1">
      <c r="K115" s="2">
        <v>313.0</v>
      </c>
      <c r="L115" s="2">
        <v>362.6</v>
      </c>
      <c r="M115" s="1">
        <v>733485.834</v>
      </c>
      <c r="N115" s="122">
        <v>4017888.721</v>
      </c>
      <c r="O115" s="1">
        <v>964.516</v>
      </c>
      <c r="U115" s="130" t="s">
        <v>54</v>
      </c>
      <c r="V115" s="122" t="s">
        <v>189</v>
      </c>
    </row>
    <row r="116" spans="8:8" ht="15.0" customHeight="1">
      <c r="K116" s="2">
        <v>314.0</v>
      </c>
      <c r="L116" s="2">
        <v>363.8</v>
      </c>
      <c r="M116" s="1">
        <v>733485.042</v>
      </c>
      <c r="N116" s="122">
        <v>4017889.623</v>
      </c>
      <c r="O116" s="1">
        <v>964.522</v>
      </c>
      <c r="U116" s="130" t="s">
        <v>62</v>
      </c>
      <c r="V116" s="122" t="s">
        <v>190</v>
      </c>
    </row>
    <row r="117" spans="8:8" ht="15.0" customHeight="1">
      <c r="K117" s="2">
        <v>315.0</v>
      </c>
      <c r="L117" s="2">
        <v>365.0</v>
      </c>
      <c r="M117" s="1">
        <v>733484.235</v>
      </c>
      <c r="N117" s="122">
        <v>4017890.512</v>
      </c>
      <c r="O117" s="1">
        <v>964.529</v>
      </c>
      <c r="U117" s="130" t="s">
        <v>65</v>
      </c>
      <c r="V117" s="122" t="s">
        <v>191</v>
      </c>
    </row>
    <row r="118" spans="8:8" ht="15.0" customHeight="1">
      <c r="K118" s="2">
        <v>316.0</v>
      </c>
      <c r="L118" s="2">
        <v>366.2</v>
      </c>
      <c r="M118" s="1">
        <v>733483.405</v>
      </c>
      <c r="N118" s="122">
        <v>4017891.378</v>
      </c>
      <c r="O118" s="1">
        <v>964.535</v>
      </c>
      <c r="U118" s="130" t="s">
        <v>67</v>
      </c>
      <c r="V118" s="122" t="s">
        <v>192</v>
      </c>
    </row>
    <row r="119" spans="8:8" ht="15.0" customHeight="1">
      <c r="K119" s="2">
        <v>317.0</v>
      </c>
      <c r="L119" s="2">
        <v>367.4</v>
      </c>
      <c r="M119" s="1">
        <v>733482.552</v>
      </c>
      <c r="N119" s="122">
        <v>4017892.222</v>
      </c>
      <c r="O119" s="1">
        <v>964.541</v>
      </c>
      <c r="U119" s="130" t="s">
        <v>69</v>
      </c>
      <c r="V119" s="122" t="s">
        <v>193</v>
      </c>
    </row>
    <row r="120" spans="8:8" ht="15.0" customHeight="1">
      <c r="K120" s="2">
        <v>318.0</v>
      </c>
      <c r="L120" s="2">
        <v>368.6</v>
      </c>
      <c r="M120" s="1">
        <v>733481.677</v>
      </c>
      <c r="N120" s="122">
        <v>4017893.043</v>
      </c>
      <c r="O120" s="1">
        <v>964.548</v>
      </c>
      <c r="U120" s="130" t="s">
        <v>72</v>
      </c>
      <c r="V120" s="122" t="s">
        <v>194</v>
      </c>
    </row>
    <row r="121" spans="8:8" ht="15.0" customHeight="1">
      <c r="K121" s="2">
        <v>319.0</v>
      </c>
      <c r="L121" s="2">
        <v>369.799999999999</v>
      </c>
      <c r="M121" s="1">
        <v>733480.788</v>
      </c>
      <c r="N121" s="122">
        <v>4017893.849</v>
      </c>
      <c r="O121" s="1">
        <v>964.554</v>
      </c>
      <c r="U121" s="130" t="s">
        <v>74</v>
      </c>
      <c r="V121" s="122" t="s">
        <v>195</v>
      </c>
    </row>
    <row r="122" spans="8:8" ht="15.0" customHeight="1">
      <c r="K122" s="2">
        <v>320.0</v>
      </c>
      <c r="L122" s="2">
        <v>370.999999999999</v>
      </c>
      <c r="M122" s="1">
        <v>733479.899</v>
      </c>
      <c r="N122" s="122">
        <v>4017894.655</v>
      </c>
      <c r="O122" s="1">
        <v>964.56</v>
      </c>
      <c r="U122" s="130" t="s">
        <v>54</v>
      </c>
      <c r="V122" s="122" t="s">
        <v>196</v>
      </c>
    </row>
    <row r="123" spans="8:8" ht="15.0" customHeight="1">
      <c r="K123" s="2">
        <v>321.0</v>
      </c>
      <c r="L123" s="2">
        <v>372.199999999999</v>
      </c>
      <c r="M123" s="1">
        <v>733479.01</v>
      </c>
      <c r="N123" s="122">
        <v>4017895.461</v>
      </c>
      <c r="O123" s="1">
        <v>964.566</v>
      </c>
      <c r="U123" s="130" t="s">
        <v>62</v>
      </c>
      <c r="V123" s="122" t="s">
        <v>197</v>
      </c>
    </row>
    <row r="124" spans="8:8" ht="15.0" customHeight="1">
      <c r="K124" s="2">
        <v>322.0</v>
      </c>
      <c r="L124" s="2">
        <v>373.399999999999</v>
      </c>
      <c r="M124" s="1">
        <v>733478.121</v>
      </c>
      <c r="N124" s="122">
        <v>4017896.266</v>
      </c>
      <c r="O124" s="1">
        <v>964.573</v>
      </c>
      <c r="U124" s="130" t="s">
        <v>65</v>
      </c>
      <c r="V124" s="122" t="s">
        <v>198</v>
      </c>
    </row>
    <row r="125" spans="8:8" ht="15.0" customHeight="1">
      <c r="K125" s="2">
        <v>323.0</v>
      </c>
      <c r="L125" s="2">
        <v>374.599999999999</v>
      </c>
      <c r="M125" s="1">
        <v>733477.231</v>
      </c>
      <c r="N125" s="122">
        <v>4017897.072</v>
      </c>
      <c r="O125" s="1">
        <v>964.579</v>
      </c>
      <c r="U125" s="130" t="s">
        <v>67</v>
      </c>
      <c r="V125" s="122" t="s">
        <v>199</v>
      </c>
    </row>
    <row r="126" spans="8:8" ht="15.0" customHeight="1">
      <c r="K126" s="2">
        <v>324.0</v>
      </c>
      <c r="L126" s="2">
        <v>375.799999999999</v>
      </c>
      <c r="M126" s="1">
        <v>733476.342</v>
      </c>
      <c r="N126" s="122">
        <v>4017897.878</v>
      </c>
      <c r="O126" s="1">
        <v>964.585</v>
      </c>
      <c r="U126" s="130" t="s">
        <v>69</v>
      </c>
      <c r="V126" s="122" t="s">
        <v>200</v>
      </c>
    </row>
    <row r="127" spans="8:8" ht="15.0" customHeight="1">
      <c r="K127" s="2">
        <v>325.0</v>
      </c>
      <c r="L127" s="2">
        <v>376.999999999999</v>
      </c>
      <c r="M127" s="1">
        <v>733475.453</v>
      </c>
      <c r="N127" s="122">
        <v>4017898.684</v>
      </c>
      <c r="O127" s="1">
        <v>964.591</v>
      </c>
      <c r="U127" s="130" t="s">
        <v>72</v>
      </c>
      <c r="V127" s="122" t="s">
        <v>201</v>
      </c>
    </row>
    <row r="128" spans="8:8" ht="15.0" customHeight="1">
      <c r="K128" s="2">
        <v>326.0</v>
      </c>
      <c r="L128" s="2">
        <v>378.199999999999</v>
      </c>
      <c r="M128" s="1">
        <v>733474.564</v>
      </c>
      <c r="N128" s="122">
        <v>4017899.49</v>
      </c>
      <c r="O128" s="1">
        <v>964.598</v>
      </c>
      <c r="U128" s="130" t="s">
        <v>74</v>
      </c>
      <c r="V128" s="122" t="s">
        <v>202</v>
      </c>
    </row>
    <row r="129" spans="8:8" ht="15.0" customHeight="1">
      <c r="K129" s="2">
        <v>327.0</v>
      </c>
      <c r="L129" s="2">
        <v>379.399999999999</v>
      </c>
      <c r="M129" s="1">
        <v>733473.675</v>
      </c>
      <c r="N129" s="122">
        <v>4017900.296</v>
      </c>
      <c r="O129" s="1">
        <v>964.604</v>
      </c>
      <c r="U129" s="130" t="s">
        <v>54</v>
      </c>
      <c r="V129" s="122" t="s">
        <v>203</v>
      </c>
    </row>
    <row r="130" spans="8:8" ht="15.0" customHeight="1">
      <c r="K130" s="2">
        <v>328.0</v>
      </c>
      <c r="L130" s="2">
        <v>380.599999999999</v>
      </c>
      <c r="M130" s="1">
        <v>733472.786</v>
      </c>
      <c r="N130" s="122">
        <v>4017901.101</v>
      </c>
      <c r="O130" s="1">
        <v>964.61</v>
      </c>
      <c r="U130" s="130" t="s">
        <v>62</v>
      </c>
      <c r="V130" s="122" t="s">
        <v>204</v>
      </c>
    </row>
    <row r="131" spans="8:8" ht="15.0" customHeight="1">
      <c r="K131" s="2">
        <v>329.0</v>
      </c>
      <c r="L131" s="2">
        <v>381.799999999999</v>
      </c>
      <c r="M131" s="1">
        <v>733471.896</v>
      </c>
      <c r="N131" s="122">
        <v>4017901.907</v>
      </c>
      <c r="O131" s="1">
        <v>964.616</v>
      </c>
      <c r="U131" s="130" t="s">
        <v>65</v>
      </c>
      <c r="V131" s="122" t="s">
        <v>205</v>
      </c>
    </row>
    <row r="132" spans="8:8" ht="15.0" customHeight="1">
      <c r="K132" s="2">
        <v>330.0</v>
      </c>
      <c r="L132" s="2">
        <v>382.999999999999</v>
      </c>
      <c r="M132" s="1">
        <v>733471.007</v>
      </c>
      <c r="N132" s="122">
        <v>4017902.713</v>
      </c>
      <c r="O132" s="1">
        <v>964.623</v>
      </c>
      <c r="U132" s="130" t="s">
        <v>67</v>
      </c>
      <c r="V132" s="122" t="s">
        <v>206</v>
      </c>
    </row>
    <row r="133" spans="8:8" ht="15.0" customHeight="1">
      <c r="K133" s="2">
        <v>331.0</v>
      </c>
      <c r="L133" s="2">
        <v>384.199999999999</v>
      </c>
      <c r="M133" s="1">
        <v>733470.118</v>
      </c>
      <c r="N133" s="122">
        <v>4017903.519</v>
      </c>
      <c r="O133" s="1">
        <v>964.629</v>
      </c>
      <c r="U133" s="130" t="s">
        <v>69</v>
      </c>
      <c r="V133" s="122" t="s">
        <v>207</v>
      </c>
    </row>
    <row r="134" spans="8:8" ht="15.0" customHeight="1">
      <c r="K134" s="2">
        <v>332.0</v>
      </c>
      <c r="L134" s="2">
        <v>385.399999999999</v>
      </c>
      <c r="M134" s="1">
        <v>733469.229</v>
      </c>
      <c r="N134" s="122">
        <v>4017904.325</v>
      </c>
      <c r="O134" s="1">
        <v>964.635</v>
      </c>
      <c r="U134" s="130" t="s">
        <v>72</v>
      </c>
      <c r="V134" s="122" t="s">
        <v>208</v>
      </c>
    </row>
    <row r="135" spans="8:8" ht="15.0" customHeight="1">
      <c r="K135" s="2">
        <v>333.0</v>
      </c>
      <c r="L135" s="2">
        <v>386.599999999999</v>
      </c>
      <c r="M135" s="1">
        <v>733468.34</v>
      </c>
      <c r="N135" s="122">
        <v>4017905.131</v>
      </c>
      <c r="O135" s="1">
        <v>964.641</v>
      </c>
      <c r="U135" s="130" t="s">
        <v>74</v>
      </c>
      <c r="V135" s="122" t="s">
        <v>209</v>
      </c>
    </row>
    <row r="136" spans="8:8" ht="15.0" customHeight="1">
      <c r="K136" s="2">
        <v>334.0</v>
      </c>
      <c r="L136" s="2">
        <v>387.799999999999</v>
      </c>
      <c r="M136" s="1">
        <v>733467.451</v>
      </c>
      <c r="N136" s="122">
        <v>4017905.937</v>
      </c>
      <c r="O136" s="1">
        <v>964.648</v>
      </c>
      <c r="U136" s="130" t="s">
        <v>54</v>
      </c>
      <c r="V136" s="122" t="s">
        <v>210</v>
      </c>
    </row>
    <row r="137" spans="8:8" ht="15.0" customHeight="1">
      <c r="K137" s="2">
        <v>335.0</v>
      </c>
      <c r="L137" s="2">
        <v>388.999999999999</v>
      </c>
      <c r="M137" s="1">
        <v>733466.561</v>
      </c>
      <c r="N137" s="122">
        <v>4017906.742</v>
      </c>
      <c r="O137" s="1">
        <v>964.654</v>
      </c>
      <c r="U137" s="130" t="s">
        <v>62</v>
      </c>
      <c r="V137" s="122" t="s">
        <v>211</v>
      </c>
    </row>
    <row r="138" spans="8:8" ht="15.0" customHeight="1">
      <c r="K138" s="2">
        <v>336.0</v>
      </c>
      <c r="L138" s="2">
        <v>390.199999999999</v>
      </c>
      <c r="M138" s="1">
        <v>733465.672</v>
      </c>
      <c r="N138" s="122">
        <v>4017907.548</v>
      </c>
      <c r="O138" s="1">
        <v>964.66</v>
      </c>
      <c r="U138" s="130" t="s">
        <v>65</v>
      </c>
      <c r="V138" s="122" t="s">
        <v>212</v>
      </c>
    </row>
    <row r="139" spans="8:8" ht="15.0" customHeight="1">
      <c r="K139" s="2">
        <v>337.0</v>
      </c>
      <c r="L139" s="2">
        <v>391.399999999999</v>
      </c>
      <c r="M139" s="1">
        <v>733464.783</v>
      </c>
      <c r="N139" s="122">
        <v>4017908.354</v>
      </c>
      <c r="O139" s="1">
        <v>964.667</v>
      </c>
      <c r="U139" s="130" t="s">
        <v>67</v>
      </c>
      <c r="V139" s="122" t="s">
        <v>213</v>
      </c>
    </row>
    <row r="140" spans="8:8" ht="15.0" customHeight="1">
      <c r="K140" s="2">
        <v>338.0</v>
      </c>
      <c r="L140" s="2">
        <v>392.599999999999</v>
      </c>
      <c r="M140" s="1">
        <v>733463.894</v>
      </c>
      <c r="N140" s="122">
        <v>4017909.16</v>
      </c>
      <c r="O140" s="1">
        <v>964.673</v>
      </c>
      <c r="U140" s="130" t="s">
        <v>69</v>
      </c>
      <c r="V140" s="122" t="s">
        <v>214</v>
      </c>
    </row>
    <row r="141" spans="8:8" ht="15.0" customHeight="1">
      <c r="K141" s="2">
        <v>339.0</v>
      </c>
      <c r="L141" s="2">
        <v>393.799999999999</v>
      </c>
      <c r="M141" s="1">
        <v>733463.005</v>
      </c>
      <c r="N141" s="122">
        <v>4017909.966</v>
      </c>
      <c r="O141" s="1">
        <v>964.679</v>
      </c>
      <c r="U141" s="130" t="s">
        <v>72</v>
      </c>
      <c r="V141" s="122" t="s">
        <v>215</v>
      </c>
    </row>
    <row r="142" spans="8:8" ht="15.0" customHeight="1">
      <c r="K142" s="2">
        <v>340.0</v>
      </c>
      <c r="L142" s="2">
        <v>394.999999999999</v>
      </c>
      <c r="M142" s="1">
        <v>733462.116</v>
      </c>
      <c r="N142" s="122">
        <v>4017910.772</v>
      </c>
      <c r="O142" s="1">
        <v>964.685</v>
      </c>
      <c r="U142" s="130" t="s">
        <v>74</v>
      </c>
      <c r="V142" s="122" t="s">
        <v>216</v>
      </c>
    </row>
    <row r="143" spans="8:8" ht="15.0" customHeight="1">
      <c r="K143" s="2">
        <v>341.0</v>
      </c>
      <c r="L143" s="2">
        <v>396.199999999999</v>
      </c>
      <c r="M143" s="1">
        <v>733461.226</v>
      </c>
      <c r="N143" s="122">
        <v>4017911.577</v>
      </c>
      <c r="O143" s="1">
        <v>964.692</v>
      </c>
      <c r="U143" s="130" t="s">
        <v>54</v>
      </c>
      <c r="V143" s="122" t="s">
        <v>217</v>
      </c>
    </row>
    <row r="144" spans="8:8" ht="15.0" customHeight="1">
      <c r="K144" s="2">
        <v>342.0</v>
      </c>
      <c r="L144" s="2">
        <v>397.399999999999</v>
      </c>
      <c r="M144" s="1">
        <v>733460.331</v>
      </c>
      <c r="N144" s="122">
        <v>4017912.376</v>
      </c>
      <c r="O144" s="1">
        <v>964.698</v>
      </c>
      <c r="U144" s="130" t="s">
        <v>62</v>
      </c>
      <c r="V144" s="122" t="s">
        <v>218</v>
      </c>
    </row>
    <row r="145" spans="8:8" ht="15.0" customHeight="1">
      <c r="K145" s="2">
        <v>343.0</v>
      </c>
      <c r="L145" s="2">
        <v>398.599999999999</v>
      </c>
      <c r="M145" s="1">
        <v>733459.409</v>
      </c>
      <c r="N145" s="122">
        <v>4017913.144</v>
      </c>
      <c r="O145" s="1">
        <v>964.704</v>
      </c>
      <c r="U145" s="130" t="s">
        <v>65</v>
      </c>
      <c r="V145" s="122" t="s">
        <v>219</v>
      </c>
    </row>
    <row r="146" spans="8:8" ht="15.0" customHeight="1">
      <c r="K146" s="2">
        <v>344.0</v>
      </c>
      <c r="L146" s="2">
        <v>399.799999999999</v>
      </c>
      <c r="M146" s="1">
        <v>733458.508</v>
      </c>
      <c r="N146" s="122">
        <v>4017913.936</v>
      </c>
      <c r="O146" s="1">
        <v>964.71</v>
      </c>
      <c r="U146" s="130" t="s">
        <v>67</v>
      </c>
      <c r="V146" s="122" t="s">
        <v>220</v>
      </c>
    </row>
    <row r="147" spans="8:8" ht="15.0" customHeight="1">
      <c r="K147" s="2">
        <v>345.0</v>
      </c>
      <c r="L147" s="2">
        <v>400.999999999999</v>
      </c>
      <c r="M147" s="1">
        <v>733457.628</v>
      </c>
      <c r="N147" s="122">
        <v>4017914.753</v>
      </c>
      <c r="O147" s="1">
        <v>964.717</v>
      </c>
      <c r="U147" s="130" t="s">
        <v>69</v>
      </c>
      <c r="V147" s="122" t="s">
        <v>221</v>
      </c>
    </row>
    <row r="148" spans="8:8" ht="15.0" customHeight="1">
      <c r="K148" s="2">
        <v>346.0</v>
      </c>
      <c r="L148" s="2">
        <v>402.199999999999</v>
      </c>
      <c r="M148" s="1">
        <v>733456.771</v>
      </c>
      <c r="N148" s="122">
        <v>4017915.592</v>
      </c>
      <c r="O148" s="1">
        <v>964.723</v>
      </c>
      <c r="U148" s="130" t="s">
        <v>72</v>
      </c>
      <c r="V148" s="122" t="s">
        <v>222</v>
      </c>
    </row>
    <row r="149" spans="8:8" ht="15.0" customHeight="1">
      <c r="K149" s="2">
        <v>347.0</v>
      </c>
      <c r="L149" s="2">
        <v>403.399999999999</v>
      </c>
      <c r="M149" s="1">
        <v>733455.936</v>
      </c>
      <c r="N149" s="122">
        <v>4017916.454</v>
      </c>
      <c r="O149" s="1">
        <v>964.729</v>
      </c>
      <c r="U149" s="130" t="s">
        <v>74</v>
      </c>
      <c r="V149" s="122" t="s">
        <v>223</v>
      </c>
    </row>
    <row r="150" spans="8:8" ht="15.0" customHeight="1">
      <c r="K150" s="2">
        <v>348.0</v>
      </c>
      <c r="L150" s="2">
        <v>404.599999999999</v>
      </c>
      <c r="M150" s="1">
        <v>733455.124</v>
      </c>
      <c r="N150" s="122">
        <v>4017917.338</v>
      </c>
      <c r="O150" s="1">
        <v>964.735</v>
      </c>
      <c r="U150" s="130" t="s">
        <v>54</v>
      </c>
      <c r="V150" s="122" t="s">
        <v>224</v>
      </c>
    </row>
    <row r="151" spans="8:8" ht="15.0" customHeight="1">
      <c r="K151" s="2">
        <v>349.0</v>
      </c>
      <c r="L151" s="2">
        <v>405.799999999999</v>
      </c>
      <c r="M151" s="1">
        <v>733454.336</v>
      </c>
      <c r="N151" s="122">
        <v>4017918.243</v>
      </c>
      <c r="O151" s="1">
        <v>964.742</v>
      </c>
      <c r="U151" s="130" t="s">
        <v>62</v>
      </c>
      <c r="V151" s="122" t="s">
        <v>225</v>
      </c>
    </row>
    <row r="152" spans="8:8" ht="15.0" customHeight="1">
      <c r="K152" s="2">
        <v>350.0</v>
      </c>
      <c r="L152" s="2">
        <v>406.999999999999</v>
      </c>
      <c r="M152" s="1">
        <v>733453.557</v>
      </c>
      <c r="N152" s="122">
        <v>4017919.155</v>
      </c>
      <c r="O152" s="1">
        <v>964.748</v>
      </c>
      <c r="U152" s="130" t="s">
        <v>65</v>
      </c>
      <c r="V152" s="122" t="s">
        <v>226</v>
      </c>
    </row>
    <row r="153" spans="8:8" ht="15.0" customHeight="1">
      <c r="K153" s="2">
        <v>351.0</v>
      </c>
      <c r="L153" s="2">
        <v>408.199999999999</v>
      </c>
      <c r="M153" s="1">
        <v>733452.777</v>
      </c>
      <c r="N153" s="122">
        <v>4017920.067</v>
      </c>
      <c r="O153" s="1">
        <v>964.754</v>
      </c>
      <c r="U153" s="130" t="s">
        <v>67</v>
      </c>
      <c r="V153" s="122" t="s">
        <v>227</v>
      </c>
    </row>
    <row r="154" spans="8:8" ht="15.0" customHeight="1">
      <c r="K154" s="2">
        <v>352.0</v>
      </c>
      <c r="L154" s="2">
        <v>409.399999999999</v>
      </c>
      <c r="M154" s="1">
        <v>733451.998</v>
      </c>
      <c r="N154" s="122">
        <v>4017920.98</v>
      </c>
      <c r="O154" s="1">
        <v>964.76</v>
      </c>
      <c r="U154" s="130" t="s">
        <v>69</v>
      </c>
      <c r="V154" s="122" t="s">
        <v>228</v>
      </c>
    </row>
    <row r="155" spans="8:8" ht="15.0" customHeight="1">
      <c r="K155" s="2">
        <v>353.0</v>
      </c>
      <c r="L155" s="2">
        <v>410.599999999999</v>
      </c>
      <c r="M155" s="1">
        <v>733451.218</v>
      </c>
      <c r="N155" s="122">
        <v>4017921.892</v>
      </c>
      <c r="O155" s="1">
        <v>964.767</v>
      </c>
      <c r="U155" s="130" t="s">
        <v>72</v>
      </c>
      <c r="V155" s="122" t="s">
        <v>229</v>
      </c>
    </row>
    <row r="156" spans="8:8" ht="15.0" customHeight="1">
      <c r="K156" s="2">
        <v>354.0</v>
      </c>
      <c r="L156" s="2">
        <v>411.799999999999</v>
      </c>
      <c r="M156" s="1">
        <v>733450.439</v>
      </c>
      <c r="N156" s="122">
        <v>4017922.805</v>
      </c>
      <c r="O156" s="1">
        <v>964.773</v>
      </c>
      <c r="U156" s="130" t="s">
        <v>74</v>
      </c>
      <c r="V156" s="122" t="s">
        <v>230</v>
      </c>
    </row>
    <row r="157" spans="8:8" ht="15.0" customHeight="1">
      <c r="K157" s="2">
        <v>355.0</v>
      </c>
      <c r="L157" s="2">
        <v>412.999999999999</v>
      </c>
      <c r="M157" s="1">
        <v>733449.659</v>
      </c>
      <c r="N157" s="122">
        <v>4017923.717</v>
      </c>
      <c r="O157" s="1">
        <v>964.779</v>
      </c>
      <c r="U157" s="130" t="s">
        <v>54</v>
      </c>
      <c r="V157" s="122" t="s">
        <v>44</v>
      </c>
    </row>
    <row r="158" spans="8:8" ht="15.0" customHeight="1">
      <c r="K158" s="2">
        <v>356.0</v>
      </c>
      <c r="L158" s="2">
        <v>414.199999999999</v>
      </c>
      <c r="M158" s="1">
        <v>733448.88</v>
      </c>
      <c r="N158" s="122">
        <v>4017924.629</v>
      </c>
      <c r="O158" s="1">
        <v>964.786</v>
      </c>
      <c r="U158" s="130" t="s">
        <v>62</v>
      </c>
      <c r="V158" s="122" t="s">
        <v>231</v>
      </c>
    </row>
    <row r="159" spans="8:8" ht="15.0" customHeight="1">
      <c r="K159" s="2">
        <v>357.0</v>
      </c>
      <c r="L159" s="2">
        <v>415.399999999999</v>
      </c>
      <c r="M159" s="1">
        <v>733448.1</v>
      </c>
      <c r="N159" s="122">
        <v>4017925.542</v>
      </c>
      <c r="O159" s="1">
        <v>964.792</v>
      </c>
      <c r="U159" s="130" t="s">
        <v>65</v>
      </c>
      <c r="V159" s="122" t="s">
        <v>232</v>
      </c>
    </row>
    <row r="160" spans="8:8" ht="15.0" customHeight="1">
      <c r="K160" s="2">
        <v>358.0</v>
      </c>
      <c r="L160" s="2">
        <v>416.599999999999</v>
      </c>
      <c r="M160" s="1">
        <v>733447.321</v>
      </c>
      <c r="N160" s="122">
        <v>4017926.454</v>
      </c>
      <c r="O160" s="1">
        <v>964.798</v>
      </c>
      <c r="U160" s="130" t="s">
        <v>67</v>
      </c>
      <c r="V160" s="122" t="s">
        <v>233</v>
      </c>
    </row>
    <row r="161" spans="8:8" ht="15.0" customHeight="1">
      <c r="K161" s="2">
        <v>359.0</v>
      </c>
      <c r="L161" s="2">
        <v>417.799999999999</v>
      </c>
      <c r="M161" s="1">
        <v>733446.542</v>
      </c>
      <c r="N161" s="122">
        <v>4017927.367</v>
      </c>
      <c r="O161" s="1">
        <v>964.804</v>
      </c>
      <c r="U161" s="130" t="s">
        <v>69</v>
      </c>
      <c r="V161" s="122" t="s">
        <v>234</v>
      </c>
    </row>
    <row r="162" spans="8:8" ht="15.0" customHeight="1">
      <c r="K162" s="2">
        <v>360.0</v>
      </c>
      <c r="L162" s="2">
        <v>418.999999999999</v>
      </c>
      <c r="M162" s="1">
        <v>733445.762</v>
      </c>
      <c r="N162" s="122">
        <v>4017928.279</v>
      </c>
      <c r="O162" s="1">
        <v>964.811</v>
      </c>
      <c r="U162" s="130" t="s">
        <v>72</v>
      </c>
      <c r="V162" s="122" t="s">
        <v>235</v>
      </c>
    </row>
    <row r="163" spans="8:8" ht="15.0" customHeight="1">
      <c r="K163" s="2">
        <v>361.0</v>
      </c>
      <c r="L163" s="2">
        <v>420.199999999999</v>
      </c>
      <c r="M163" s="1">
        <v>733444.983</v>
      </c>
      <c r="N163" s="122">
        <v>4017929.191</v>
      </c>
      <c r="O163" s="1">
        <v>964.817</v>
      </c>
      <c r="U163" s="130" t="s">
        <v>74</v>
      </c>
      <c r="V163" s="122" t="s">
        <v>236</v>
      </c>
    </row>
    <row r="164" spans="8:8" ht="15.0" customHeight="1">
      <c r="K164" s="2">
        <v>362.0</v>
      </c>
      <c r="L164" s="2">
        <v>421.399999999999</v>
      </c>
      <c r="M164" s="1">
        <v>733444.203</v>
      </c>
      <c r="N164" s="122">
        <v>4017930.104</v>
      </c>
      <c r="O164" s="1">
        <v>964.823</v>
      </c>
      <c r="U164" s="130" t="s">
        <v>54</v>
      </c>
      <c r="V164" s="122" t="s">
        <v>237</v>
      </c>
    </row>
    <row r="165" spans="8:8" ht="15.0" customHeight="1">
      <c r="K165" s="2">
        <v>363.0</v>
      </c>
      <c r="L165" s="2">
        <v>422.599999999999</v>
      </c>
      <c r="M165" s="1">
        <v>733443.424</v>
      </c>
      <c r="N165" s="122">
        <v>4017931.016</v>
      </c>
      <c r="O165" s="1">
        <v>964.829</v>
      </c>
      <c r="U165" s="130" t="s">
        <v>62</v>
      </c>
      <c r="V165" s="122" t="s">
        <v>238</v>
      </c>
    </row>
    <row r="166" spans="8:8" ht="15.0" customHeight="1">
      <c r="K166" s="2">
        <v>364.0</v>
      </c>
      <c r="L166" s="2">
        <v>423.799999999999</v>
      </c>
      <c r="M166" s="1">
        <v>733442.644</v>
      </c>
      <c r="N166" s="122">
        <v>4017931.928</v>
      </c>
      <c r="O166" s="1">
        <v>964.836</v>
      </c>
      <c r="U166" s="130" t="s">
        <v>65</v>
      </c>
      <c r="V166" s="122" t="s">
        <v>239</v>
      </c>
    </row>
    <row r="167" spans="8:8" ht="15.0" customHeight="1">
      <c r="K167" s="2">
        <v>365.0</v>
      </c>
      <c r="L167" s="2">
        <v>424.999999999999</v>
      </c>
      <c r="M167" s="1">
        <v>733441.865</v>
      </c>
      <c r="N167" s="122">
        <v>4017932.841</v>
      </c>
      <c r="O167" s="1">
        <v>964.842</v>
      </c>
      <c r="U167" s="130" t="s">
        <v>67</v>
      </c>
      <c r="V167" s="122" t="s">
        <v>240</v>
      </c>
    </row>
    <row r="168" spans="8:8" ht="15.0" customHeight="1">
      <c r="K168" s="2">
        <v>366.0</v>
      </c>
      <c r="L168" s="2">
        <v>426.199999999999</v>
      </c>
      <c r="M168" s="1">
        <v>733441.086</v>
      </c>
      <c r="N168" s="122">
        <v>4017933.753</v>
      </c>
      <c r="O168" s="1">
        <v>964.848</v>
      </c>
      <c r="U168" s="130" t="s">
        <v>69</v>
      </c>
      <c r="V168" s="122" t="s">
        <v>241</v>
      </c>
    </row>
    <row r="169" spans="8:8" ht="15.0" customHeight="1">
      <c r="K169" s="2">
        <v>367.0</v>
      </c>
      <c r="L169" s="2">
        <v>427.399999999999</v>
      </c>
      <c r="M169" s="1">
        <v>733440.306</v>
      </c>
      <c r="N169" s="122">
        <v>4017934.666</v>
      </c>
      <c r="O169" s="1">
        <v>964.854</v>
      </c>
      <c r="U169" s="130" t="s">
        <v>72</v>
      </c>
      <c r="V169" s="122" t="s">
        <v>242</v>
      </c>
    </row>
    <row r="170" spans="8:8" ht="15.0" customHeight="1">
      <c r="K170" s="2">
        <v>368.0</v>
      </c>
      <c r="L170" s="2">
        <v>428.599999999999</v>
      </c>
      <c r="M170" s="1">
        <v>733439.527</v>
      </c>
      <c r="N170" s="122">
        <v>4017935.578</v>
      </c>
      <c r="O170" s="1">
        <v>964.861</v>
      </c>
      <c r="U170" s="130" t="s">
        <v>74</v>
      </c>
      <c r="V170" s="122" t="s">
        <v>243</v>
      </c>
    </row>
    <row r="171" spans="8:8" ht="15.0" customHeight="1">
      <c r="K171" s="2">
        <v>369.0</v>
      </c>
      <c r="L171" s="2">
        <v>429.799999999999</v>
      </c>
      <c r="M171" s="1">
        <v>733438.747</v>
      </c>
      <c r="N171" s="122">
        <v>4017936.49</v>
      </c>
      <c r="O171" s="1">
        <v>964.867</v>
      </c>
      <c r="U171" s="130" t="s">
        <v>54</v>
      </c>
      <c r="V171" s="122" t="s">
        <v>244</v>
      </c>
    </row>
    <row r="172" spans="8:8" ht="15.0" customHeight="1">
      <c r="K172" s="2">
        <v>370.0</v>
      </c>
      <c r="L172" s="2">
        <v>430.999999999999</v>
      </c>
      <c r="M172" s="1">
        <v>733437.968</v>
      </c>
      <c r="N172" s="122">
        <v>4017937.403</v>
      </c>
      <c r="O172" s="1">
        <v>964.873</v>
      </c>
      <c r="U172" s="130" t="s">
        <v>62</v>
      </c>
      <c r="V172" s="122" t="s">
        <v>245</v>
      </c>
    </row>
    <row r="173" spans="8:8" ht="15.0" customHeight="1">
      <c r="K173" s="2">
        <v>371.0</v>
      </c>
      <c r="L173" s="2">
        <v>432.199999999999</v>
      </c>
      <c r="M173" s="1">
        <v>733437.188</v>
      </c>
      <c r="N173" s="122">
        <v>4017938.315</v>
      </c>
      <c r="O173" s="1">
        <v>964.88</v>
      </c>
      <c r="U173" s="130" t="s">
        <v>65</v>
      </c>
      <c r="V173" s="122" t="s">
        <v>246</v>
      </c>
    </row>
    <row r="174" spans="8:8" ht="15.0" customHeight="1">
      <c r="K174" s="2">
        <v>372.0</v>
      </c>
      <c r="L174" s="2">
        <v>433.399999999999</v>
      </c>
      <c r="M174" s="1">
        <v>733436.409</v>
      </c>
      <c r="N174" s="122">
        <v>4017939.228</v>
      </c>
      <c r="O174" s="1">
        <v>964.886</v>
      </c>
      <c r="U174" s="130" t="s">
        <v>67</v>
      </c>
      <c r="V174" s="122" t="s">
        <v>247</v>
      </c>
    </row>
    <row r="175" spans="8:8" ht="15.0" customHeight="1">
      <c r="K175" s="2">
        <v>373.0</v>
      </c>
      <c r="L175" s="2">
        <v>434.599999999999</v>
      </c>
      <c r="M175" s="1">
        <v>733435.629</v>
      </c>
      <c r="N175" s="122">
        <v>4017940.14</v>
      </c>
      <c r="O175" s="1">
        <v>964.892</v>
      </c>
      <c r="U175" s="130" t="s">
        <v>69</v>
      </c>
      <c r="V175" s="122" t="s">
        <v>248</v>
      </c>
    </row>
    <row r="176" spans="8:8" ht="15.0" customHeight="1">
      <c r="K176" s="2">
        <v>374.0</v>
      </c>
      <c r="L176" s="2">
        <v>435.799999999999</v>
      </c>
      <c r="M176" s="1">
        <v>733434.85</v>
      </c>
      <c r="N176" s="122">
        <v>4017941.052</v>
      </c>
      <c r="O176" s="1">
        <v>964.898</v>
      </c>
      <c r="U176" s="130" t="s">
        <v>72</v>
      </c>
      <c r="V176" s="122" t="s">
        <v>249</v>
      </c>
    </row>
    <row r="177" spans="8:8" ht="15.0" customHeight="1">
      <c r="K177" s="2">
        <v>375.0</v>
      </c>
      <c r="L177" s="2">
        <v>436.999999999999</v>
      </c>
      <c r="M177" s="1">
        <v>733434.071</v>
      </c>
      <c r="N177" s="122">
        <v>4017941.965</v>
      </c>
      <c r="O177" s="1">
        <v>964.905</v>
      </c>
      <c r="U177" s="130" t="s">
        <v>74</v>
      </c>
      <c r="V177" s="122" t="s">
        <v>250</v>
      </c>
    </row>
    <row r="178" spans="8:8" ht="15.0" customHeight="1">
      <c r="K178" s="2">
        <v>376.0</v>
      </c>
      <c r="L178" s="2">
        <v>438.199999999999</v>
      </c>
      <c r="M178" s="1">
        <v>733433.291</v>
      </c>
      <c r="N178" s="122">
        <v>4017942.877</v>
      </c>
      <c r="O178" s="1">
        <v>964.911</v>
      </c>
      <c r="U178" s="130" t="s">
        <v>54</v>
      </c>
      <c r="V178" s="122" t="s">
        <v>251</v>
      </c>
    </row>
    <row r="179" spans="8:8" ht="15.0" customHeight="1">
      <c r="K179" s="2">
        <v>377.0</v>
      </c>
      <c r="L179" s="2">
        <v>439.399999999999</v>
      </c>
      <c r="M179" s="1">
        <v>733432.512</v>
      </c>
      <c r="N179" s="122">
        <v>4017943.79</v>
      </c>
      <c r="O179" s="1">
        <v>964.917</v>
      </c>
      <c r="U179" s="130" t="s">
        <v>62</v>
      </c>
      <c r="V179" s="122" t="s">
        <v>252</v>
      </c>
    </row>
    <row r="180" spans="8:8" ht="15.0" customHeight="1">
      <c r="K180" s="2">
        <v>378.0</v>
      </c>
      <c r="L180" s="2">
        <v>440.599999999999</v>
      </c>
      <c r="M180" s="1">
        <v>733431.732</v>
      </c>
      <c r="N180" s="122">
        <v>4017944.702</v>
      </c>
      <c r="O180" s="1">
        <v>964.923</v>
      </c>
      <c r="U180" s="130" t="s">
        <v>65</v>
      </c>
      <c r="V180" s="122" t="s">
        <v>253</v>
      </c>
    </row>
    <row r="181" spans="8:8" ht="15.0" customHeight="1">
      <c r="K181" s="2">
        <v>379.0</v>
      </c>
      <c r="L181" s="2">
        <v>441.799999999999</v>
      </c>
      <c r="M181" s="1">
        <v>733430.953</v>
      </c>
      <c r="N181" s="122">
        <v>4017945.614</v>
      </c>
      <c r="O181" s="1">
        <v>964.93</v>
      </c>
      <c r="U181" s="130" t="s">
        <v>67</v>
      </c>
      <c r="V181" s="122" t="s">
        <v>254</v>
      </c>
    </row>
    <row r="182" spans="8:8" ht="15.0" customHeight="1">
      <c r="K182" s="2">
        <v>380.0</v>
      </c>
      <c r="L182" s="2">
        <v>442.999999999999</v>
      </c>
      <c r="M182" s="1">
        <v>733430.173</v>
      </c>
      <c r="N182" s="122">
        <v>4017946.527</v>
      </c>
      <c r="O182" s="1">
        <v>964.936</v>
      </c>
      <c r="U182" s="130" t="s">
        <v>69</v>
      </c>
      <c r="V182" s="122" t="s">
        <v>255</v>
      </c>
    </row>
    <row r="183" spans="8:8" ht="15.0" customHeight="1">
      <c r="K183" s="2">
        <v>381.0</v>
      </c>
      <c r="L183" s="2">
        <v>444.199999999999</v>
      </c>
      <c r="M183" s="1">
        <v>733429.394</v>
      </c>
      <c r="N183" s="122">
        <v>4017947.439</v>
      </c>
      <c r="O183" s="1">
        <v>964.942</v>
      </c>
      <c r="U183" s="130" t="s">
        <v>72</v>
      </c>
      <c r="V183" s="122" t="s">
        <v>256</v>
      </c>
    </row>
    <row r="184" spans="8:8" ht="15.0" customHeight="1">
      <c r="K184" s="2">
        <v>382.0</v>
      </c>
      <c r="L184" s="2">
        <v>445.399999999999</v>
      </c>
      <c r="M184" s="1">
        <v>733428.614</v>
      </c>
      <c r="N184" s="122">
        <v>4017948.352</v>
      </c>
      <c r="O184" s="1">
        <v>964.948</v>
      </c>
      <c r="U184" s="130" t="s">
        <v>74</v>
      </c>
      <c r="V184" s="122" t="s">
        <v>257</v>
      </c>
    </row>
    <row r="185" spans="8:8" ht="15.0" customHeight="1">
      <c r="K185" s="2">
        <v>383.0</v>
      </c>
      <c r="L185" s="2">
        <v>446.599999999999</v>
      </c>
      <c r="M185" s="1">
        <v>733427.835</v>
      </c>
      <c r="N185" s="122">
        <v>4017949.264</v>
      </c>
      <c r="O185" s="1">
        <v>964.955</v>
      </c>
      <c r="U185" s="130" t="s">
        <v>54</v>
      </c>
      <c r="V185" s="122" t="s">
        <v>258</v>
      </c>
    </row>
    <row r="186" spans="8:8" ht="15.0" customHeight="1">
      <c r="K186" s="2">
        <v>384.0</v>
      </c>
      <c r="L186" s="2">
        <v>447.799999999999</v>
      </c>
      <c r="M186" s="1">
        <v>733427.056</v>
      </c>
      <c r="N186" s="122">
        <v>4017950.176</v>
      </c>
      <c r="O186" s="1">
        <v>964.961</v>
      </c>
      <c r="U186" s="130" t="s">
        <v>62</v>
      </c>
      <c r="V186" s="122" t="s">
        <v>259</v>
      </c>
    </row>
    <row r="187" spans="8:8" ht="15.0" customHeight="1">
      <c r="K187" s="2">
        <v>385.0</v>
      </c>
      <c r="L187" s="2">
        <v>448.999999999999</v>
      </c>
      <c r="M187" s="1">
        <v>733426.276</v>
      </c>
      <c r="N187" s="122">
        <v>4017951.089</v>
      </c>
      <c r="O187" s="1">
        <v>964.967</v>
      </c>
      <c r="U187" s="130" t="s">
        <v>65</v>
      </c>
      <c r="V187" s="122" t="s">
        <v>260</v>
      </c>
    </row>
    <row r="188" spans="8:8" ht="15.0" customHeight="1">
      <c r="K188" s="2">
        <v>386.0</v>
      </c>
      <c r="L188" s="2">
        <v>450.199999999999</v>
      </c>
      <c r="M188" s="1">
        <v>733425.497</v>
      </c>
      <c r="N188" s="122">
        <v>4017952.001</v>
      </c>
      <c r="O188" s="1">
        <v>964.973</v>
      </c>
      <c r="U188" s="130" t="s">
        <v>67</v>
      </c>
      <c r="V188" s="122" t="s">
        <v>261</v>
      </c>
    </row>
    <row r="189" spans="8:8" ht="15.0" customHeight="1">
      <c r="K189" s="2">
        <v>387.0</v>
      </c>
      <c r="L189" s="2">
        <v>451.399999999999</v>
      </c>
      <c r="M189" s="1">
        <v>733424.717</v>
      </c>
      <c r="N189" s="122">
        <v>4017952.914</v>
      </c>
      <c r="O189" s="1">
        <v>964.98</v>
      </c>
      <c r="U189" s="130" t="s">
        <v>69</v>
      </c>
      <c r="V189" s="122" t="s">
        <v>262</v>
      </c>
    </row>
    <row r="190" spans="8:8" ht="15.0" customHeight="1">
      <c r="K190" s="2">
        <v>388.0</v>
      </c>
      <c r="L190" s="2">
        <v>452.599999999999</v>
      </c>
      <c r="M190" s="1">
        <v>733423.938</v>
      </c>
      <c r="N190" s="122">
        <v>4017953.826</v>
      </c>
      <c r="O190" s="1">
        <v>964.986</v>
      </c>
      <c r="U190" s="130" t="s">
        <v>72</v>
      </c>
      <c r="V190" s="122" t="s">
        <v>263</v>
      </c>
    </row>
    <row r="191" spans="8:8" ht="15.0" customHeight="1">
      <c r="K191" s="2">
        <v>389.0</v>
      </c>
      <c r="L191" s="2">
        <v>453.799999999999</v>
      </c>
      <c r="M191" s="1">
        <v>733423.158</v>
      </c>
      <c r="N191" s="122">
        <v>4017954.738</v>
      </c>
      <c r="O191" s="1">
        <v>964.992</v>
      </c>
      <c r="U191" s="130" t="s">
        <v>74</v>
      </c>
      <c r="V191" s="122" t="s">
        <v>264</v>
      </c>
    </row>
    <row r="192" spans="8:8" ht="15.0" customHeight="1">
      <c r="K192" s="2">
        <v>390.0</v>
      </c>
      <c r="L192" s="2">
        <v>454.999999999999</v>
      </c>
      <c r="M192" s="1">
        <v>733422.379</v>
      </c>
      <c r="N192" s="122">
        <v>4017955.651</v>
      </c>
      <c r="O192" s="1">
        <v>964.999</v>
      </c>
      <c r="U192" s="130" t="s">
        <v>54</v>
      </c>
      <c r="V192" s="122" t="s">
        <v>265</v>
      </c>
    </row>
    <row r="193" spans="8:8" ht="15.0" customHeight="1">
      <c r="K193" s="2">
        <v>391.0</v>
      </c>
      <c r="L193" s="2">
        <v>456.199999999999</v>
      </c>
      <c r="M193" s="1">
        <v>733421.599</v>
      </c>
      <c r="N193" s="122">
        <v>4017956.563</v>
      </c>
      <c r="O193" s="1">
        <v>965.005</v>
      </c>
      <c r="U193" s="130" t="s">
        <v>62</v>
      </c>
      <c r="V193" s="122" t="s">
        <v>266</v>
      </c>
    </row>
    <row r="194" spans="8:8" ht="15.0" customHeight="1">
      <c r="K194" s="2">
        <v>392.0</v>
      </c>
      <c r="L194" s="2">
        <v>457.399999999999</v>
      </c>
      <c r="M194" s="1">
        <v>733420.82</v>
      </c>
      <c r="N194" s="122">
        <v>4017957.476</v>
      </c>
      <c r="O194" s="1">
        <v>965.011</v>
      </c>
      <c r="U194" s="130" t="s">
        <v>65</v>
      </c>
      <c r="V194" s="122" t="s">
        <v>267</v>
      </c>
    </row>
    <row r="195" spans="8:8" ht="15.0" customHeight="1">
      <c r="K195" s="2">
        <v>393.0</v>
      </c>
      <c r="L195" s="2">
        <v>458.599999999999</v>
      </c>
      <c r="M195" s="1">
        <v>733420.041</v>
      </c>
      <c r="N195" s="122">
        <v>4017958.388</v>
      </c>
      <c r="O195" s="1">
        <v>965.017</v>
      </c>
      <c r="U195" s="130" t="s">
        <v>67</v>
      </c>
      <c r="V195" s="122" t="s">
        <v>268</v>
      </c>
    </row>
    <row r="196" spans="8:8" ht="15.0" customHeight="1">
      <c r="K196" s="2">
        <v>394.0</v>
      </c>
      <c r="L196" s="2">
        <v>459.799999999999</v>
      </c>
      <c r="M196" s="1">
        <v>733419.261</v>
      </c>
      <c r="N196" s="122">
        <v>4017959.3</v>
      </c>
      <c r="O196" s="1">
        <v>965.024</v>
      </c>
      <c r="U196" s="130" t="s">
        <v>69</v>
      </c>
      <c r="V196" s="122" t="s">
        <v>269</v>
      </c>
    </row>
    <row r="197" spans="8:8" ht="15.0" customHeight="1">
      <c r="K197" s="2">
        <v>395.0</v>
      </c>
      <c r="L197" s="2">
        <v>460.999999999999</v>
      </c>
      <c r="M197" s="1">
        <v>733418.482</v>
      </c>
      <c r="N197" s="122">
        <v>4017960.213</v>
      </c>
      <c r="O197" s="1">
        <v>965.03</v>
      </c>
      <c r="U197" s="130" t="s">
        <v>72</v>
      </c>
      <c r="V197" s="122" t="s">
        <v>270</v>
      </c>
    </row>
    <row r="198" spans="8:8" ht="15.0" customHeight="1">
      <c r="K198" s="2">
        <v>396.0</v>
      </c>
      <c r="L198" s="2">
        <v>462.199999999999</v>
      </c>
      <c r="M198" s="1">
        <v>733417.702</v>
      </c>
      <c r="N198" s="122">
        <v>4017961.125</v>
      </c>
      <c r="O198" s="1">
        <v>965.036</v>
      </c>
      <c r="U198" s="130" t="s">
        <v>74</v>
      </c>
      <c r="V198" s="122" t="s">
        <v>271</v>
      </c>
    </row>
    <row r="199" spans="8:8" ht="15.0" customHeight="1">
      <c r="K199" s="2">
        <v>397.0</v>
      </c>
      <c r="L199" s="2">
        <v>463.399999999999</v>
      </c>
      <c r="M199" s="1">
        <v>733416.923</v>
      </c>
      <c r="N199" s="122">
        <v>4017962.038</v>
      </c>
      <c r="O199" s="1">
        <v>965.042</v>
      </c>
      <c r="U199" s="130" t="s">
        <v>54</v>
      </c>
      <c r="V199" s="122" t="s">
        <v>272</v>
      </c>
    </row>
    <row r="200" spans="8:8" ht="15.0" customHeight="1">
      <c r="K200" s="2">
        <v>398.0</v>
      </c>
      <c r="L200" s="2">
        <v>464.599999999999</v>
      </c>
      <c r="M200" s="1">
        <v>733416.143</v>
      </c>
      <c r="N200" s="122">
        <v>4017962.95</v>
      </c>
      <c r="O200" s="1">
        <v>965.049</v>
      </c>
      <c r="U200" s="130" t="s">
        <v>62</v>
      </c>
      <c r="V200" s="122" t="s">
        <v>273</v>
      </c>
    </row>
    <row r="201" spans="8:8" ht="15.0" customHeight="1">
      <c r="K201" s="2">
        <v>399.0</v>
      </c>
      <c r="L201" s="2">
        <v>465.799999999999</v>
      </c>
      <c r="M201" s="1">
        <v>733415.364</v>
      </c>
      <c r="N201" s="122">
        <v>4017963.862</v>
      </c>
      <c r="O201" s="1">
        <v>965.055</v>
      </c>
      <c r="U201" s="130" t="s">
        <v>65</v>
      </c>
      <c r="V201" s="122" t="s">
        <v>274</v>
      </c>
    </row>
    <row r="202" spans="8:8" ht="15.0" customHeight="1">
      <c r="K202" s="2">
        <v>400.0</v>
      </c>
      <c r="L202" s="2">
        <v>466.999999999999</v>
      </c>
      <c r="M202" s="1">
        <v>733414.584</v>
      </c>
      <c r="N202" s="122">
        <v>4017964.775</v>
      </c>
      <c r="O202" s="1">
        <v>965.061</v>
      </c>
      <c r="U202" s="130" t="s">
        <v>67</v>
      </c>
      <c r="V202" s="122" t="s">
        <v>275</v>
      </c>
    </row>
    <row r="203" spans="8:8" ht="15.0" customHeight="1">
      <c r="K203" s="2">
        <v>401.0</v>
      </c>
      <c r="L203" s="2">
        <v>468.199999999999</v>
      </c>
      <c r="M203" s="1">
        <v>733413.805</v>
      </c>
      <c r="N203" s="122">
        <v>4017965.687</v>
      </c>
      <c r="O203" s="1">
        <v>965.067</v>
      </c>
      <c r="U203" s="130" t="s">
        <v>69</v>
      </c>
      <c r="V203" s="122" t="s">
        <v>276</v>
      </c>
    </row>
    <row r="204" spans="8:8" ht="15.0" customHeight="1">
      <c r="K204" s="2">
        <v>402.0</v>
      </c>
      <c r="L204" s="2">
        <v>469.399999999999</v>
      </c>
      <c r="M204" s="1">
        <v>733413.026</v>
      </c>
      <c r="N204" s="122">
        <v>4017966.6</v>
      </c>
      <c r="O204" s="1">
        <v>965.074</v>
      </c>
      <c r="U204" s="130" t="s">
        <v>72</v>
      </c>
      <c r="V204" s="122" t="s">
        <v>277</v>
      </c>
    </row>
    <row r="205" spans="8:8" ht="15.0" customHeight="1">
      <c r="K205" s="2">
        <v>403.0</v>
      </c>
      <c r="L205" s="2">
        <v>470.599999999999</v>
      </c>
      <c r="M205" s="1">
        <v>733412.246</v>
      </c>
      <c r="N205" s="122">
        <v>4017967.512</v>
      </c>
      <c r="O205" s="1">
        <v>965.08</v>
      </c>
      <c r="U205" s="130" t="s">
        <v>74</v>
      </c>
      <c r="V205" s="122" t="s">
        <v>278</v>
      </c>
    </row>
    <row r="206" spans="8:8" ht="15.0" customHeight="1">
      <c r="K206" s="2">
        <v>404.0</v>
      </c>
      <c r="L206" s="2">
        <v>471.799999999999</v>
      </c>
      <c r="M206" s="1">
        <v>733411.467</v>
      </c>
      <c r="N206" s="122">
        <v>4017968.424</v>
      </c>
      <c r="O206" s="1">
        <v>965.086</v>
      </c>
      <c r="U206" s="130" t="s">
        <v>54</v>
      </c>
      <c r="V206" s="122" t="s">
        <v>279</v>
      </c>
    </row>
    <row r="207" spans="8:8" ht="15.0" customHeight="1">
      <c r="K207" s="2">
        <v>405.0</v>
      </c>
      <c r="L207" s="2">
        <v>472.999999999999</v>
      </c>
      <c r="M207" s="1">
        <v>733410.687</v>
      </c>
      <c r="N207" s="122">
        <v>4017969.337</v>
      </c>
      <c r="O207" s="1">
        <v>965.092</v>
      </c>
      <c r="U207" s="130" t="s">
        <v>62</v>
      </c>
      <c r="V207" s="122" t="s">
        <v>280</v>
      </c>
    </row>
    <row r="208" spans="8:8" ht="15.0" customHeight="1">
      <c r="K208" s="2">
        <v>406.0</v>
      </c>
      <c r="L208" s="2">
        <v>474.199999999999</v>
      </c>
      <c r="M208" s="1">
        <v>733409.908</v>
      </c>
      <c r="N208" s="122">
        <v>4017970.249</v>
      </c>
      <c r="O208" s="1">
        <v>965.099</v>
      </c>
      <c r="U208" s="130" t="s">
        <v>65</v>
      </c>
      <c r="V208" s="122" t="s">
        <v>281</v>
      </c>
    </row>
    <row r="209" spans="8:8" ht="15.0" customHeight="1">
      <c r="K209" s="2">
        <v>407.0</v>
      </c>
      <c r="L209" s="2">
        <v>475.399999999998</v>
      </c>
      <c r="M209" s="1">
        <v>733409.128</v>
      </c>
      <c r="N209" s="122">
        <v>4017971.162</v>
      </c>
      <c r="O209" s="1">
        <v>965.105</v>
      </c>
      <c r="U209" s="130" t="s">
        <v>67</v>
      </c>
      <c r="V209" s="122" t="s">
        <v>282</v>
      </c>
    </row>
    <row r="210" spans="8:8" ht="15.0" customHeight="1">
      <c r="K210" s="2">
        <v>408.0</v>
      </c>
      <c r="L210" s="2">
        <v>476.599999999998</v>
      </c>
      <c r="M210" s="1">
        <v>733408.349</v>
      </c>
      <c r="N210" s="122">
        <v>4017972.074</v>
      </c>
      <c r="O210" s="1">
        <v>965.111</v>
      </c>
      <c r="U210" s="130" t="s">
        <v>69</v>
      </c>
      <c r="V210" s="122" t="s">
        <v>283</v>
      </c>
    </row>
    <row r="211" spans="8:8" ht="15.0" customHeight="1">
      <c r="K211" s="2">
        <v>409.0</v>
      </c>
      <c r="L211" s="2">
        <v>477.799999999998</v>
      </c>
      <c r="M211" s="1">
        <v>733407.569</v>
      </c>
      <c r="N211" s="122">
        <v>4017972.986</v>
      </c>
      <c r="O211" s="1">
        <v>965.118</v>
      </c>
      <c r="U211" s="130" t="s">
        <v>72</v>
      </c>
      <c r="V211" s="122" t="s">
        <v>284</v>
      </c>
    </row>
    <row r="212" spans="8:8" ht="15.0" customHeight="1">
      <c r="K212" s="2">
        <v>410.0</v>
      </c>
      <c r="L212" s="2">
        <v>478.999999999998</v>
      </c>
      <c r="M212" s="1">
        <v>733406.79</v>
      </c>
      <c r="N212" s="122">
        <v>4017973.899</v>
      </c>
      <c r="O212" s="1">
        <v>965.124</v>
      </c>
      <c r="U212" s="130" t="s">
        <v>74</v>
      </c>
      <c r="V212" s="122" t="s">
        <v>285</v>
      </c>
    </row>
    <row r="213" spans="8:8" ht="15.0" customHeight="1">
      <c r="K213" s="2">
        <v>411.0</v>
      </c>
      <c r="L213" s="2">
        <v>480.199999999998</v>
      </c>
      <c r="M213" s="1">
        <v>733406.011</v>
      </c>
      <c r="N213" s="122">
        <v>4017974.811</v>
      </c>
      <c r="O213" s="1">
        <v>965.13</v>
      </c>
      <c r="U213" s="130" t="s">
        <v>54</v>
      </c>
      <c r="V213" s="122" t="s">
        <v>286</v>
      </c>
    </row>
    <row r="214" spans="8:8" ht="15.0" customHeight="1">
      <c r="K214" s="2">
        <v>412.0</v>
      </c>
      <c r="L214" s="2">
        <v>481.399999999998</v>
      </c>
      <c r="M214" s="1">
        <v>733405.231</v>
      </c>
      <c r="N214" s="122">
        <v>4017975.724</v>
      </c>
      <c r="O214" s="1">
        <v>965.136</v>
      </c>
      <c r="U214" s="130" t="s">
        <v>62</v>
      </c>
      <c r="V214" s="122" t="s">
        <v>287</v>
      </c>
    </row>
    <row r="215" spans="8:8" ht="15.0" customHeight="1">
      <c r="K215" s="2">
        <v>413.0</v>
      </c>
      <c r="L215" s="2">
        <v>482.599999999998</v>
      </c>
      <c r="M215" s="1">
        <v>733404.452</v>
      </c>
      <c r="N215" s="122">
        <v>4017976.636</v>
      </c>
      <c r="O215" s="1">
        <v>965.143</v>
      </c>
      <c r="U215" s="130" t="s">
        <v>65</v>
      </c>
      <c r="V215" s="122" t="s">
        <v>288</v>
      </c>
    </row>
    <row r="216" spans="8:8" ht="15.0" customHeight="1">
      <c r="K216" s="2">
        <v>414.0</v>
      </c>
      <c r="L216" s="2">
        <v>483.799999999998</v>
      </c>
      <c r="M216" s="1">
        <v>733403.672</v>
      </c>
      <c r="N216" s="122">
        <v>4017977.548</v>
      </c>
      <c r="O216" s="1">
        <v>965.149</v>
      </c>
      <c r="U216" s="130" t="s">
        <v>67</v>
      </c>
      <c r="V216" s="122" t="s">
        <v>289</v>
      </c>
    </row>
    <row r="217" spans="8:8" ht="15.0" customHeight="1">
      <c r="K217" s="2">
        <v>415.0</v>
      </c>
      <c r="L217" s="2">
        <v>484.999999999998</v>
      </c>
      <c r="M217" s="1">
        <v>733402.893</v>
      </c>
      <c r="N217" s="122">
        <v>4017978.461</v>
      </c>
      <c r="O217" s="1">
        <v>965.155</v>
      </c>
      <c r="U217" s="130" t="s">
        <v>69</v>
      </c>
      <c r="V217" s="122" t="s">
        <v>290</v>
      </c>
    </row>
    <row r="218" spans="8:8" ht="15.0" customHeight="1">
      <c r="K218" s="2">
        <v>416.0</v>
      </c>
      <c r="L218" s="2">
        <v>486.199999999998</v>
      </c>
      <c r="M218" s="1">
        <v>733402.113</v>
      </c>
      <c r="N218" s="122">
        <v>4017979.373</v>
      </c>
      <c r="O218" s="1">
        <v>965.161</v>
      </c>
      <c r="U218" s="130" t="s">
        <v>72</v>
      </c>
      <c r="V218" s="122" t="s">
        <v>291</v>
      </c>
    </row>
    <row r="219" spans="8:8" ht="15.0" customHeight="1">
      <c r="K219" s="2">
        <v>417.0</v>
      </c>
      <c r="L219" s="2">
        <v>489.8</v>
      </c>
      <c r="O219" s="1">
        <v>965.168</v>
      </c>
      <c r="U219" s="130" t="s">
        <v>74</v>
      </c>
      <c r="V219" s="122" t="s">
        <v>292</v>
      </c>
    </row>
    <row r="220" spans="8:8" ht="15.0" customHeight="1">
      <c r="K220" s="2">
        <v>418.0</v>
      </c>
      <c r="L220" s="2">
        <v>491.0</v>
      </c>
      <c r="O220" s="1">
        <v>965.174</v>
      </c>
      <c r="U220" s="130" t="s">
        <v>54</v>
      </c>
      <c r="V220" s="122" t="s">
        <v>293</v>
      </c>
    </row>
    <row r="221" spans="8:8" ht="15.0" customHeight="1">
      <c r="K221" s="2">
        <v>419.0</v>
      </c>
      <c r="L221" s="2">
        <v>492.2</v>
      </c>
      <c r="O221" s="1">
        <v>965.18</v>
      </c>
      <c r="U221" s="130" t="s">
        <v>62</v>
      </c>
      <c r="V221" s="122" t="s">
        <v>294</v>
      </c>
    </row>
    <row r="222" spans="8:8" ht="15.0" customHeight="1">
      <c r="K222" s="2">
        <v>420.0</v>
      </c>
      <c r="L222" s="2">
        <v>493.4</v>
      </c>
      <c r="O222" s="1">
        <v>965.186</v>
      </c>
      <c r="U222" s="130" t="s">
        <v>65</v>
      </c>
      <c r="V222" s="122" t="s">
        <v>295</v>
      </c>
    </row>
    <row r="223" spans="8:8" ht="15.0" customHeight="1">
      <c r="K223" s="2">
        <v>421.0</v>
      </c>
      <c r="L223" s="2">
        <v>494.6</v>
      </c>
      <c r="O223" s="1">
        <v>965.193</v>
      </c>
      <c r="U223" s="130" t="s">
        <v>67</v>
      </c>
      <c r="V223" s="122" t="s">
        <v>296</v>
      </c>
    </row>
    <row r="224" spans="8:8" ht="15.0" customHeight="1">
      <c r="K224" s="2">
        <v>422.0</v>
      </c>
      <c r="L224" s="2">
        <v>495.8</v>
      </c>
      <c r="O224" s="1">
        <v>965.199</v>
      </c>
      <c r="U224" s="130" t="s">
        <v>69</v>
      </c>
      <c r="V224" s="122" t="s">
        <v>297</v>
      </c>
    </row>
    <row r="225" spans="8:8" ht="15.0" customHeight="1">
      <c r="K225" s="2">
        <v>423.0</v>
      </c>
      <c r="L225" s="2">
        <v>497.0</v>
      </c>
      <c r="O225" s="1">
        <v>965.205</v>
      </c>
      <c r="U225" s="130" t="s">
        <v>72</v>
      </c>
      <c r="V225" s="122" t="s">
        <v>298</v>
      </c>
    </row>
    <row r="226" spans="8:8" ht="15.0" customHeight="1">
      <c r="K226" s="2">
        <v>424.0</v>
      </c>
      <c r="L226" s="2">
        <v>498.2</v>
      </c>
      <c r="O226" s="1">
        <v>965.212</v>
      </c>
      <c r="U226" s="130" t="s">
        <v>74</v>
      </c>
      <c r="V226" s="122" t="s">
        <v>299</v>
      </c>
    </row>
    <row r="227" spans="8:8" ht="15.0" customHeight="1">
      <c r="K227" s="2">
        <v>425.0</v>
      </c>
      <c r="L227" s="2">
        <v>499.4</v>
      </c>
      <c r="O227" s="1">
        <v>965.218</v>
      </c>
      <c r="U227" s="130" t="s">
        <v>54</v>
      </c>
      <c r="V227" s="122" t="s">
        <v>300</v>
      </c>
    </row>
    <row r="228" spans="8:8" ht="15.0" customHeight="1">
      <c r="K228" s="2">
        <v>426.0</v>
      </c>
      <c r="L228" s="2">
        <v>500.6</v>
      </c>
      <c r="O228" s="1">
        <v>965.218</v>
      </c>
      <c r="U228" s="130" t="s">
        <v>62</v>
      </c>
      <c r="V228" s="122" t="s">
        <v>301</v>
      </c>
    </row>
    <row r="229" spans="8:8" ht="15.0" customHeight="1">
      <c r="K229" s="2">
        <v>427.0</v>
      </c>
      <c r="L229" s="2">
        <v>501.8</v>
      </c>
      <c r="O229" s="1">
        <v>965.23</v>
      </c>
      <c r="U229" s="130" t="s">
        <v>65</v>
      </c>
      <c r="V229" s="122" t="s">
        <v>302</v>
      </c>
    </row>
    <row r="230" spans="8:8" ht="15.0" customHeight="1">
      <c r="K230" s="2">
        <v>428.0</v>
      </c>
      <c r="L230" s="2">
        <v>503.0</v>
      </c>
      <c r="O230" s="1">
        <v>965.237</v>
      </c>
      <c r="U230" s="130" t="s">
        <v>67</v>
      </c>
      <c r="V230" s="122" t="s">
        <v>303</v>
      </c>
    </row>
    <row r="231" spans="8:8" ht="15.0" customHeight="1">
      <c r="K231" s="2">
        <v>429.0</v>
      </c>
      <c r="L231" s="2">
        <v>504.2</v>
      </c>
      <c r="O231" s="1">
        <v>965.243</v>
      </c>
      <c r="U231" s="130" t="s">
        <v>69</v>
      </c>
      <c r="V231" s="122" t="s">
        <v>304</v>
      </c>
    </row>
    <row r="232" spans="8:8" ht="15.0" customHeight="1">
      <c r="K232" s="2">
        <v>430.0</v>
      </c>
      <c r="L232" s="2">
        <v>505.4</v>
      </c>
      <c r="O232" s="1">
        <v>965.249</v>
      </c>
      <c r="U232" s="130" t="s">
        <v>72</v>
      </c>
      <c r="V232" s="122" t="s">
        <v>305</v>
      </c>
    </row>
    <row r="233" spans="8:8" ht="15.0" customHeight="1">
      <c r="K233" s="2">
        <v>431.0</v>
      </c>
      <c r="L233" s="2">
        <v>506.6</v>
      </c>
      <c r="M233" s="1">
        <v>733388.863</v>
      </c>
      <c r="N233" s="122">
        <v>4017994.884</v>
      </c>
      <c r="O233" s="1">
        <v>965.255</v>
      </c>
      <c r="U233" s="130" t="s">
        <v>74</v>
      </c>
      <c r="V233" s="122" t="s">
        <v>306</v>
      </c>
    </row>
    <row r="234" spans="8:8" ht="15.0" customHeight="1">
      <c r="K234" s="2">
        <v>432.0</v>
      </c>
      <c r="L234" s="2">
        <v>507.8</v>
      </c>
      <c r="M234" s="1">
        <v>733388.083</v>
      </c>
      <c r="N234" s="122">
        <v>4017995.796</v>
      </c>
      <c r="O234" s="1">
        <v>965.262</v>
      </c>
      <c r="U234" s="130" t="s">
        <v>54</v>
      </c>
      <c r="V234" s="122" t="s">
        <v>307</v>
      </c>
    </row>
    <row r="235" spans="8:8" ht="15.0" customHeight="1">
      <c r="K235" s="2">
        <v>433.0</v>
      </c>
      <c r="L235" s="2">
        <v>509.0</v>
      </c>
      <c r="M235" s="1">
        <v>733387.304</v>
      </c>
      <c r="N235" s="122">
        <v>4017996.709</v>
      </c>
      <c r="O235" s="1">
        <v>965.268</v>
      </c>
      <c r="U235" s="130" t="s">
        <v>62</v>
      </c>
      <c r="V235" s="122" t="s">
        <v>308</v>
      </c>
    </row>
    <row r="236" spans="8:8" ht="15.0" customHeight="1">
      <c r="K236" s="2">
        <v>434.0</v>
      </c>
      <c r="L236" s="2">
        <v>510.2</v>
      </c>
      <c r="M236" s="1">
        <v>733386.524</v>
      </c>
      <c r="N236" s="122">
        <v>4017997.621</v>
      </c>
      <c r="O236" s="1">
        <v>965.274</v>
      </c>
      <c r="U236" s="130" t="s">
        <v>65</v>
      </c>
      <c r="V236" s="122" t="s">
        <v>309</v>
      </c>
    </row>
    <row r="237" spans="8:8" ht="15.0" customHeight="1">
      <c r="K237" s="2">
        <v>435.0</v>
      </c>
      <c r="L237" s="2">
        <v>511.4</v>
      </c>
      <c r="M237" s="1">
        <v>733385.745</v>
      </c>
      <c r="N237" s="122">
        <v>4017998.533</v>
      </c>
      <c r="O237" s="1">
        <v>965.28</v>
      </c>
      <c r="U237" s="130" t="s">
        <v>67</v>
      </c>
      <c r="V237" s="122" t="s">
        <v>310</v>
      </c>
    </row>
    <row r="238" spans="8:8" ht="15.0" customHeight="1">
      <c r="K238" s="2">
        <v>436.0</v>
      </c>
      <c r="L238" s="2">
        <v>512.6</v>
      </c>
      <c r="M238" s="1">
        <v>733384.966</v>
      </c>
      <c r="N238" s="122">
        <v>4017999.446</v>
      </c>
      <c r="O238" s="1">
        <v>965.287</v>
      </c>
      <c r="U238" s="130" t="s">
        <v>69</v>
      </c>
      <c r="V238" s="122" t="s">
        <v>311</v>
      </c>
    </row>
    <row r="239" spans="8:8" ht="15.0" customHeight="1">
      <c r="K239" s="2">
        <v>437.0</v>
      </c>
      <c r="L239" s="2">
        <v>513.8</v>
      </c>
      <c r="M239" s="1">
        <v>733384.186</v>
      </c>
      <c r="N239" s="122">
        <v>4018000.358</v>
      </c>
      <c r="O239" s="1">
        <v>965.293</v>
      </c>
      <c r="U239" s="130" t="s">
        <v>72</v>
      </c>
      <c r="V239" s="122" t="s">
        <v>312</v>
      </c>
    </row>
    <row r="240" spans="8:8" ht="15.0" customHeight="1">
      <c r="K240" s="2">
        <v>438.0</v>
      </c>
      <c r="L240" s="2">
        <v>515.0</v>
      </c>
      <c r="M240" s="1">
        <v>733383.407</v>
      </c>
      <c r="N240" s="122">
        <v>4018001.271</v>
      </c>
      <c r="O240" s="1">
        <v>965.299</v>
      </c>
      <c r="U240" s="130" t="s">
        <v>74</v>
      </c>
      <c r="V240" s="122" t="s">
        <v>313</v>
      </c>
    </row>
    <row r="241" spans="8:8" ht="15.0" customHeight="1">
      <c r="K241" s="2">
        <v>439.0</v>
      </c>
      <c r="L241" s="2">
        <v>516.2</v>
      </c>
      <c r="M241" s="1">
        <v>733382.627</v>
      </c>
      <c r="N241" s="122">
        <v>4018002.183</v>
      </c>
      <c r="O241" s="1">
        <v>965.305</v>
      </c>
      <c r="U241" s="130" t="s">
        <v>54</v>
      </c>
      <c r="V241" s="122" t="s">
        <v>314</v>
      </c>
    </row>
    <row r="242" spans="8:8" ht="15.0" customHeight="1">
      <c r="K242" s="2">
        <v>440.0</v>
      </c>
      <c r="L242" s="2">
        <v>517.4</v>
      </c>
      <c r="M242" s="1">
        <v>733381.848</v>
      </c>
      <c r="N242" s="122">
        <v>4018003.095</v>
      </c>
      <c r="O242" s="1">
        <v>965.312</v>
      </c>
      <c r="U242" s="130" t="s">
        <v>62</v>
      </c>
      <c r="V242" s="122" t="s">
        <v>315</v>
      </c>
    </row>
    <row r="243" spans="8:8" ht="15.0" customHeight="1">
      <c r="K243" s="2">
        <v>441.0</v>
      </c>
      <c r="L243" s="2">
        <v>518.6</v>
      </c>
      <c r="M243" s="1">
        <v>733381.068</v>
      </c>
      <c r="N243" s="122">
        <v>4018004.008</v>
      </c>
      <c r="O243" s="1">
        <v>965.318</v>
      </c>
      <c r="U243" s="130" t="s">
        <v>65</v>
      </c>
      <c r="V243" s="122" t="s">
        <v>316</v>
      </c>
    </row>
    <row r="244" spans="8:8" ht="15.0" customHeight="1">
      <c r="K244" s="2">
        <v>442.0</v>
      </c>
      <c r="L244" s="2">
        <v>519.8</v>
      </c>
      <c r="M244" s="1">
        <v>733380.289</v>
      </c>
      <c r="N244" s="122">
        <v>4018004.92</v>
      </c>
      <c r="O244" s="1">
        <v>965.324</v>
      </c>
      <c r="U244" s="130" t="s">
        <v>67</v>
      </c>
      <c r="V244" s="122" t="s">
        <v>317</v>
      </c>
    </row>
    <row r="245" spans="8:8" ht="15.0" customHeight="1">
      <c r="K245" s="2">
        <v>443.0</v>
      </c>
      <c r="L245" s="2">
        <v>521.0</v>
      </c>
      <c r="M245" s="1">
        <v>733379.509</v>
      </c>
      <c r="N245" s="122">
        <v>4018005.833</v>
      </c>
      <c r="O245" s="1">
        <v>965.331</v>
      </c>
      <c r="U245" s="130" t="s">
        <v>69</v>
      </c>
      <c r="V245" s="122" t="s">
        <v>318</v>
      </c>
    </row>
    <row r="246" spans="8:8" ht="15.0" customHeight="1">
      <c r="K246" s="2">
        <v>444.0</v>
      </c>
      <c r="L246" s="2">
        <v>522.2</v>
      </c>
      <c r="M246" s="1">
        <v>733378.73</v>
      </c>
      <c r="N246" s="122">
        <v>4018006.745</v>
      </c>
      <c r="O246" s="1">
        <v>965.337</v>
      </c>
      <c r="U246" s="130" t="s">
        <v>72</v>
      </c>
      <c r="V246" s="122" t="s">
        <v>319</v>
      </c>
    </row>
    <row r="247" spans="8:8" ht="15.0" customHeight="1">
      <c r="K247" s="2">
        <v>445.0</v>
      </c>
      <c r="L247" s="2">
        <v>523.4</v>
      </c>
      <c r="M247" s="1">
        <v>733377.951</v>
      </c>
      <c r="N247" s="122">
        <v>4018007.657</v>
      </c>
      <c r="O247" s="1">
        <v>965.343</v>
      </c>
      <c r="U247" s="130" t="s">
        <v>74</v>
      </c>
      <c r="V247" s="122" t="s">
        <v>320</v>
      </c>
    </row>
    <row r="248" spans="8:8" ht="15.0" customHeight="1">
      <c r="K248" s="2">
        <v>446.0</v>
      </c>
      <c r="L248" s="2">
        <v>524.6</v>
      </c>
      <c r="M248" s="1">
        <v>733377.171</v>
      </c>
      <c r="N248" s="122">
        <v>4018008.57</v>
      </c>
      <c r="O248" s="1">
        <v>965.349</v>
      </c>
      <c r="U248" s="130" t="s">
        <v>54</v>
      </c>
      <c r="V248" s="122" t="s">
        <v>321</v>
      </c>
    </row>
    <row r="249" spans="8:8" ht="15.0" customHeight="1">
      <c r="K249" s="2">
        <v>447.0</v>
      </c>
      <c r="L249" s="2">
        <v>525.8</v>
      </c>
      <c r="M249" s="1">
        <v>733376.392</v>
      </c>
      <c r="N249" s="122">
        <v>4018009.482</v>
      </c>
      <c r="O249" s="1">
        <v>965.356</v>
      </c>
      <c r="U249" s="130" t="s">
        <v>62</v>
      </c>
      <c r="V249" s="122" t="s">
        <v>322</v>
      </c>
    </row>
    <row r="250" spans="8:8" ht="15.0" customHeight="1">
      <c r="K250" s="2">
        <v>448.0</v>
      </c>
      <c r="L250" s="2">
        <v>527.0</v>
      </c>
      <c r="M250" s="1">
        <v>733375.612</v>
      </c>
      <c r="N250" s="122">
        <v>4018010.395</v>
      </c>
      <c r="O250" s="1">
        <v>965.362</v>
      </c>
      <c r="U250" s="130" t="s">
        <v>65</v>
      </c>
      <c r="V250" s="122" t="s">
        <v>323</v>
      </c>
    </row>
    <row r="251" spans="8:8" ht="15.0" customHeight="1">
      <c r="K251" s="2">
        <v>449.0</v>
      </c>
      <c r="L251" s="2">
        <v>528.2</v>
      </c>
      <c r="M251" s="1">
        <v>733374.833</v>
      </c>
      <c r="N251" s="122">
        <v>4018011.307</v>
      </c>
      <c r="O251" s="1">
        <v>965.368</v>
      </c>
      <c r="U251" s="130" t="s">
        <v>67</v>
      </c>
      <c r="V251" s="122" t="s">
        <v>324</v>
      </c>
    </row>
    <row r="252" spans="8:8" ht="15.0" customHeight="1">
      <c r="K252" s="2">
        <v>450.0</v>
      </c>
      <c r="L252" s="2">
        <v>529.4</v>
      </c>
      <c r="M252" s="1">
        <v>733374.053</v>
      </c>
      <c r="N252" s="122">
        <v>4018012.219</v>
      </c>
      <c r="O252" s="1">
        <v>965.374</v>
      </c>
      <c r="U252" s="130" t="s">
        <v>69</v>
      </c>
      <c r="V252" s="122" t="s">
        <v>325</v>
      </c>
    </row>
    <row r="253" spans="8:8" ht="15.0" customHeight="1">
      <c r="K253" s="2">
        <v>451.0</v>
      </c>
      <c r="L253" s="2">
        <v>530.6</v>
      </c>
      <c r="M253" s="1">
        <v>733373.274</v>
      </c>
      <c r="N253" s="122">
        <v>4018013.132</v>
      </c>
      <c r="O253" s="1">
        <v>965.381</v>
      </c>
      <c r="U253" s="130" t="s">
        <v>72</v>
      </c>
      <c r="V253" s="122" t="s">
        <v>326</v>
      </c>
    </row>
    <row r="254" spans="8:8" ht="15.0" customHeight="1">
      <c r="K254" s="2">
        <v>452.0</v>
      </c>
      <c r="L254" s="2">
        <v>531.8</v>
      </c>
      <c r="M254" s="1">
        <v>733372.494</v>
      </c>
      <c r="N254" s="122">
        <v>4018014.044</v>
      </c>
      <c r="O254" s="1">
        <v>965.387</v>
      </c>
      <c r="U254" s="130" t="s">
        <v>74</v>
      </c>
      <c r="V254" s="122" t="s">
        <v>327</v>
      </c>
    </row>
    <row r="255" spans="8:8" ht="15.0" customHeight="1">
      <c r="K255" s="2">
        <v>453.0</v>
      </c>
      <c r="L255" s="2">
        <v>533.0</v>
      </c>
      <c r="M255" s="1">
        <v>733371.715</v>
      </c>
      <c r="N255" s="122">
        <v>4018014.957</v>
      </c>
      <c r="O255" s="1">
        <v>965.393</v>
      </c>
      <c r="U255" s="130" t="s">
        <v>54</v>
      </c>
      <c r="V255" s="122" t="s">
        <v>328</v>
      </c>
    </row>
    <row r="256" spans="8:8" ht="15.0" customHeight="1">
      <c r="K256" s="2">
        <v>454.0</v>
      </c>
      <c r="L256" s="2">
        <v>534.2</v>
      </c>
      <c r="M256" s="1">
        <v>733370.936</v>
      </c>
      <c r="N256" s="122">
        <v>4018015.869</v>
      </c>
      <c r="O256" s="1">
        <v>965.399</v>
      </c>
      <c r="U256" s="130" t="s">
        <v>62</v>
      </c>
      <c r="V256" s="122" t="s">
        <v>329</v>
      </c>
    </row>
    <row r="257" spans="8:8" ht="15.0" customHeight="1">
      <c r="K257" s="2">
        <v>455.0</v>
      </c>
      <c r="L257" s="2">
        <v>535.4</v>
      </c>
      <c r="M257" s="1">
        <v>733370.156</v>
      </c>
      <c r="N257" s="122">
        <v>4018016.781</v>
      </c>
      <c r="O257" s="1">
        <v>965.406</v>
      </c>
      <c r="U257" s="130" t="s">
        <v>65</v>
      </c>
      <c r="V257" s="122" t="s">
        <v>330</v>
      </c>
    </row>
    <row r="258" spans="8:8" ht="15.0" customHeight="1">
      <c r="K258" s="2">
        <v>456.0</v>
      </c>
      <c r="L258" s="2">
        <v>536.6</v>
      </c>
      <c r="M258" s="1">
        <v>733369.377</v>
      </c>
      <c r="N258" s="122">
        <v>4018017.694</v>
      </c>
      <c r="O258" s="1">
        <v>965.412</v>
      </c>
      <c r="U258" s="130" t="s">
        <v>67</v>
      </c>
      <c r="V258" s="122" t="s">
        <v>331</v>
      </c>
    </row>
    <row r="259" spans="8:8" ht="15.0" customHeight="1">
      <c r="K259" s="2">
        <v>457.0</v>
      </c>
      <c r="L259" s="2">
        <v>537.8</v>
      </c>
      <c r="M259" s="1">
        <v>733368.597</v>
      </c>
      <c r="N259" s="122">
        <v>4018018.606</v>
      </c>
      <c r="O259" s="1">
        <v>965.418</v>
      </c>
      <c r="U259" s="130" t="s">
        <v>69</v>
      </c>
      <c r="V259" s="122" t="s">
        <v>332</v>
      </c>
    </row>
    <row r="260" spans="8:8" ht="15.0" customHeight="1">
      <c r="K260" s="2">
        <v>458.0</v>
      </c>
      <c r="L260" s="2">
        <v>539.0</v>
      </c>
      <c r="M260" s="1">
        <v>733367.818</v>
      </c>
      <c r="N260" s="122">
        <v>4018019.519</v>
      </c>
      <c r="O260" s="1">
        <v>965.424</v>
      </c>
      <c r="U260" s="130" t="s">
        <v>72</v>
      </c>
      <c r="V260" s="122" t="s">
        <v>333</v>
      </c>
    </row>
    <row r="261" spans="8:8" ht="15.0" customHeight="1">
      <c r="K261" s="2">
        <v>459.0</v>
      </c>
      <c r="L261" s="2">
        <v>540.2</v>
      </c>
      <c r="M261" s="1">
        <v>733367.04</v>
      </c>
      <c r="N261" s="122">
        <v>4018020.432</v>
      </c>
      <c r="O261" s="1">
        <v>965.431</v>
      </c>
      <c r="U261" s="130" t="s">
        <v>74</v>
      </c>
      <c r="V261" s="122" t="s">
        <v>334</v>
      </c>
    </row>
    <row r="262" spans="8:8" ht="15.0" customHeight="1">
      <c r="K262" s="2">
        <v>460.0</v>
      </c>
      <c r="L262" s="2">
        <v>541.4</v>
      </c>
      <c r="M262" s="1">
        <v>733366.266</v>
      </c>
      <c r="N262" s="122">
        <v>4018021.35</v>
      </c>
      <c r="O262" s="1">
        <v>965.437</v>
      </c>
      <c r="U262" s="130" t="s">
        <v>54</v>
      </c>
      <c r="V262" s="122" t="s">
        <v>335</v>
      </c>
    </row>
    <row r="263" spans="8:8" ht="15.0" customHeight="1">
      <c r="K263" s="2">
        <v>461.0</v>
      </c>
      <c r="L263" s="2">
        <v>542.6</v>
      </c>
      <c r="M263" s="1">
        <v>733365.493</v>
      </c>
      <c r="N263" s="122">
        <v>4018022.267</v>
      </c>
      <c r="O263" s="1">
        <v>965.443</v>
      </c>
      <c r="U263" s="130" t="s">
        <v>62</v>
      </c>
      <c r="V263" s="122" t="s">
        <v>336</v>
      </c>
    </row>
    <row r="264" spans="8:8" ht="15.0" customHeight="1">
      <c r="K264" s="2">
        <v>462.0</v>
      </c>
      <c r="L264" s="2">
        <v>543.8</v>
      </c>
      <c r="M264" s="1">
        <v>733364.719</v>
      </c>
      <c r="N264" s="122">
        <v>4018023.185</v>
      </c>
      <c r="O264" s="1">
        <v>965.45</v>
      </c>
      <c r="U264" s="130" t="s">
        <v>65</v>
      </c>
      <c r="V264" s="122" t="s">
        <v>337</v>
      </c>
    </row>
    <row r="265" spans="8:8" ht="15.0" customHeight="1">
      <c r="K265" s="2">
        <v>463.0</v>
      </c>
      <c r="L265" s="2">
        <v>545.0</v>
      </c>
      <c r="M265" s="1">
        <v>733363.946</v>
      </c>
      <c r="N265" s="122">
        <v>4018024.102</v>
      </c>
      <c r="O265" s="1">
        <v>965.456</v>
      </c>
      <c r="U265" s="130" t="s">
        <v>67</v>
      </c>
      <c r="V265" s="122" t="s">
        <v>338</v>
      </c>
    </row>
    <row r="266" spans="8:8" ht="15.0" customHeight="1">
      <c r="K266" s="2">
        <v>464.0</v>
      </c>
      <c r="L266" s="2">
        <v>546.2</v>
      </c>
      <c r="M266" s="1">
        <v>733363.173</v>
      </c>
      <c r="N266" s="122">
        <v>4018025.02</v>
      </c>
      <c r="O266" s="1">
        <v>965.462</v>
      </c>
      <c r="U266" s="130" t="s">
        <v>69</v>
      </c>
      <c r="V266" s="122" t="s">
        <v>339</v>
      </c>
    </row>
    <row r="267" spans="8:8" ht="15.0" customHeight="1">
      <c r="K267" s="2">
        <v>465.0</v>
      </c>
      <c r="L267" s="2">
        <v>547.4</v>
      </c>
      <c r="M267" s="1">
        <v>733362.399</v>
      </c>
      <c r="N267" s="122">
        <v>4018025.937</v>
      </c>
      <c r="O267" s="1">
        <v>965.468</v>
      </c>
      <c r="U267" s="130" t="s">
        <v>72</v>
      </c>
      <c r="V267" s="122" t="s">
        <v>340</v>
      </c>
    </row>
    <row r="268" spans="8:8" ht="15.0" customHeight="1">
      <c r="K268" s="2">
        <v>466.0</v>
      </c>
      <c r="L268" s="2">
        <v>548.6</v>
      </c>
      <c r="M268" s="1">
        <v>733361.626</v>
      </c>
      <c r="N268" s="122">
        <v>4018026.855</v>
      </c>
      <c r="O268" s="1">
        <v>965.475</v>
      </c>
      <c r="U268" s="130" t="s">
        <v>74</v>
      </c>
      <c r="V268" s="122" t="s">
        <v>341</v>
      </c>
    </row>
    <row r="269" spans="8:8" ht="15.0" customHeight="1">
      <c r="K269" s="2">
        <v>467.0</v>
      </c>
      <c r="L269" s="2">
        <v>549.8</v>
      </c>
      <c r="M269" s="1">
        <v>733360.852</v>
      </c>
      <c r="N269" s="122">
        <v>4018027.772</v>
      </c>
      <c r="O269" s="1">
        <v>965.481</v>
      </c>
      <c r="U269" s="130" t="s">
        <v>54</v>
      </c>
      <c r="V269" s="122" t="s">
        <v>342</v>
      </c>
    </row>
    <row r="270" spans="8:8" ht="15.0" customHeight="1">
      <c r="K270" s="2">
        <v>468.0</v>
      </c>
      <c r="L270" s="2">
        <v>551.0</v>
      </c>
      <c r="M270" s="1">
        <v>733360.079</v>
      </c>
      <c r="N270" s="122">
        <v>4018028.69</v>
      </c>
      <c r="O270" s="1">
        <v>965.487</v>
      </c>
      <c r="U270" s="130" t="s">
        <v>62</v>
      </c>
      <c r="V270" s="122" t="s">
        <v>343</v>
      </c>
    </row>
    <row r="271" spans="8:8" ht="15.0" customHeight="1">
      <c r="K271" s="2">
        <v>469.0</v>
      </c>
      <c r="L271" s="2">
        <v>552.2</v>
      </c>
      <c r="M271" s="1">
        <v>733359.305</v>
      </c>
      <c r="N271" s="122">
        <v>4018029.607</v>
      </c>
      <c r="O271" s="1">
        <v>965.493</v>
      </c>
      <c r="U271" s="130" t="s">
        <v>65</v>
      </c>
      <c r="V271" s="122" t="s">
        <v>344</v>
      </c>
    </row>
    <row r="272" spans="8:8" ht="15.0" customHeight="1">
      <c r="K272" s="2">
        <v>470.0</v>
      </c>
      <c r="L272" s="2">
        <v>553.4</v>
      </c>
      <c r="M272" s="1">
        <v>733358.532</v>
      </c>
      <c r="N272" s="122">
        <v>4018030.525</v>
      </c>
      <c r="O272" s="1">
        <v>965.5</v>
      </c>
      <c r="U272" s="130" t="s">
        <v>67</v>
      </c>
      <c r="V272" s="122" t="s">
        <v>345</v>
      </c>
    </row>
    <row r="273" spans="8:8" ht="15.0" customHeight="1">
      <c r="K273" s="2">
        <v>471.0</v>
      </c>
      <c r="L273" s="2">
        <v>554.6</v>
      </c>
      <c r="M273" s="1">
        <v>733357.759</v>
      </c>
      <c r="N273" s="122">
        <v>4018031.442</v>
      </c>
      <c r="O273" s="1">
        <v>965.506</v>
      </c>
      <c r="U273" s="130" t="s">
        <v>69</v>
      </c>
      <c r="V273" s="122" t="s">
        <v>346</v>
      </c>
    </row>
    <row r="274" spans="8:8" ht="15.0" customHeight="1">
      <c r="K274" s="2">
        <v>472.0</v>
      </c>
      <c r="L274" s="2">
        <v>555.8</v>
      </c>
      <c r="M274" s="1">
        <v>733356.985</v>
      </c>
      <c r="N274" s="122">
        <v>4018032.36</v>
      </c>
      <c r="O274" s="1">
        <v>965.512</v>
      </c>
      <c r="U274" s="130" t="s">
        <v>72</v>
      </c>
      <c r="V274" s="122" t="s">
        <v>347</v>
      </c>
    </row>
    <row r="275" spans="8:8" ht="15.0" customHeight="1">
      <c r="K275" s="2">
        <v>473.0</v>
      </c>
      <c r="L275" s="2">
        <v>557.0</v>
      </c>
      <c r="M275" s="1">
        <v>733356.212</v>
      </c>
      <c r="N275" s="122">
        <v>4018033.277</v>
      </c>
      <c r="O275" s="1">
        <v>965.518</v>
      </c>
      <c r="U275" s="130" t="s">
        <v>74</v>
      </c>
      <c r="V275" s="122" t="s">
        <v>348</v>
      </c>
    </row>
    <row r="276" spans="8:8" ht="15.0" customHeight="1">
      <c r="K276" s="2">
        <v>474.0</v>
      </c>
      <c r="L276" s="2">
        <v>558.2</v>
      </c>
      <c r="M276" s="1">
        <v>733355.487</v>
      </c>
      <c r="N276" s="122">
        <v>4018034.233</v>
      </c>
      <c r="O276" s="1">
        <v>965.525</v>
      </c>
      <c r="U276" s="130" t="s">
        <v>54</v>
      </c>
      <c r="V276" s="122" t="s">
        <v>349</v>
      </c>
    </row>
    <row r="277" spans="8:8" ht="15.0" customHeight="1">
      <c r="K277" s="2">
        <v>475.0</v>
      </c>
      <c r="L277" s="2">
        <v>559.4</v>
      </c>
      <c r="M277" s="1">
        <v>733354.777</v>
      </c>
      <c r="N277" s="122">
        <v>4018035.201</v>
      </c>
      <c r="O277" s="1">
        <v>965.531</v>
      </c>
      <c r="U277" s="130" t="s">
        <v>62</v>
      </c>
      <c r="V277" s="122" t="s">
        <v>350</v>
      </c>
    </row>
    <row r="278" spans="8:8" ht="15.0" customHeight="1">
      <c r="K278" s="2">
        <v>476.0</v>
      </c>
      <c r="L278" s="2">
        <v>560.6</v>
      </c>
      <c r="M278" s="1">
        <v>733354.077</v>
      </c>
      <c r="N278" s="122">
        <v>4018036.175</v>
      </c>
      <c r="O278" s="1">
        <v>965.537</v>
      </c>
      <c r="U278" s="130" t="s">
        <v>65</v>
      </c>
      <c r="V278" s="122" t="s">
        <v>351</v>
      </c>
    </row>
    <row r="279" spans="8:8" ht="15.0" customHeight="1">
      <c r="K279" s="2">
        <v>477.0</v>
      </c>
      <c r="L279" s="2">
        <v>561.8</v>
      </c>
      <c r="M279" s="1">
        <v>733353.387</v>
      </c>
      <c r="N279" s="122">
        <v>4018037.157</v>
      </c>
      <c r="O279" s="1">
        <v>965.544</v>
      </c>
      <c r="U279" s="130" t="s">
        <v>67</v>
      </c>
      <c r="V279" s="122" t="s">
        <v>352</v>
      </c>
    </row>
    <row r="280" spans="8:8" ht="15.0" customHeight="1">
      <c r="K280" s="2">
        <v>478.0</v>
      </c>
      <c r="L280" s="2">
        <v>563.0</v>
      </c>
      <c r="M280" s="1">
        <v>733352.708</v>
      </c>
      <c r="N280" s="122">
        <v>4018038.146</v>
      </c>
      <c r="O280" s="1">
        <v>965.55</v>
      </c>
      <c r="U280" s="130" t="s">
        <v>69</v>
      </c>
      <c r="V280" s="122" t="s">
        <v>353</v>
      </c>
    </row>
    <row r="281" spans="8:8" ht="15.0" customHeight="1">
      <c r="K281" s="2">
        <v>479.0</v>
      </c>
      <c r="L281" s="2">
        <v>564.2</v>
      </c>
      <c r="M281" s="1">
        <v>733352.038</v>
      </c>
      <c r="N281" s="122">
        <v>4018039.142</v>
      </c>
      <c r="O281" s="1">
        <v>965.556</v>
      </c>
      <c r="U281" s="130" t="s">
        <v>72</v>
      </c>
      <c r="V281" s="122" t="s">
        <v>354</v>
      </c>
    </row>
    <row r="282" spans="8:8" ht="15.0" customHeight="1">
      <c r="K282" s="2">
        <v>480.0</v>
      </c>
      <c r="L282" s="2">
        <v>565.4</v>
      </c>
      <c r="M282" s="1">
        <v>733351.38</v>
      </c>
      <c r="N282" s="122">
        <v>4018040.145</v>
      </c>
      <c r="O282" s="1">
        <v>965.562</v>
      </c>
      <c r="U282" s="130" t="s">
        <v>74</v>
      </c>
      <c r="V282" s="122" t="s">
        <v>355</v>
      </c>
    </row>
    <row r="283" spans="8:8" ht="15.0" customHeight="1">
      <c r="K283" s="2">
        <v>481.0</v>
      </c>
      <c r="L283" s="2">
        <v>566.6</v>
      </c>
      <c r="M283" s="1">
        <v>733350.731</v>
      </c>
      <c r="N283" s="122">
        <v>4018041.155</v>
      </c>
      <c r="O283" s="1">
        <v>965.569</v>
      </c>
      <c r="U283" s="130" t="s">
        <v>54</v>
      </c>
      <c r="V283" s="122" t="s">
        <v>356</v>
      </c>
    </row>
    <row r="284" spans="8:8" ht="15.0" customHeight="1">
      <c r="K284" s="2">
        <v>482.0</v>
      </c>
      <c r="L284" s="2">
        <v>567.8</v>
      </c>
      <c r="M284" s="1">
        <v>733350.094</v>
      </c>
      <c r="N284" s="122">
        <v>4018042.172</v>
      </c>
      <c r="O284" s="1">
        <v>965.575</v>
      </c>
      <c r="U284" s="130" t="s">
        <v>62</v>
      </c>
      <c r="V284" s="122" t="s">
        <v>357</v>
      </c>
    </row>
    <row r="285" spans="8:8" ht="15.0" customHeight="1">
      <c r="K285" s="2">
        <v>483.0</v>
      </c>
      <c r="L285" s="2">
        <v>569.0</v>
      </c>
      <c r="M285" s="1">
        <v>733349.467</v>
      </c>
      <c r="N285" s="122">
        <v>4018043.195</v>
      </c>
      <c r="O285" s="1">
        <v>965.581</v>
      </c>
      <c r="U285" s="130" t="s">
        <v>65</v>
      </c>
      <c r="V285" s="122" t="s">
        <v>358</v>
      </c>
    </row>
    <row r="286" spans="8:8" ht="15.0" customHeight="1">
      <c r="K286" s="2">
        <v>484.0</v>
      </c>
      <c r="L286" s="2">
        <v>570.2</v>
      </c>
      <c r="M286" s="1">
        <v>733348.85</v>
      </c>
      <c r="N286" s="122">
        <v>4018044.224</v>
      </c>
      <c r="O286" s="1">
        <v>965.587</v>
      </c>
      <c r="U286" s="130" t="s">
        <v>67</v>
      </c>
      <c r="V286" s="122" t="s">
        <v>359</v>
      </c>
    </row>
    <row r="287" spans="8:8" ht="15.0" customHeight="1">
      <c r="K287" s="2">
        <v>485.0</v>
      </c>
      <c r="L287" s="2">
        <v>571.4</v>
      </c>
      <c r="M287" s="1">
        <v>733348.244</v>
      </c>
      <c r="N287" s="122">
        <v>4018045.26</v>
      </c>
      <c r="O287" s="1">
        <v>965.594</v>
      </c>
      <c r="U287" s="130" t="s">
        <v>69</v>
      </c>
      <c r="V287" s="122" t="s">
        <v>360</v>
      </c>
    </row>
    <row r="288" spans="8:8" ht="15.0" customHeight="1">
      <c r="K288" s="2">
        <v>486.0</v>
      </c>
      <c r="L288" s="2">
        <v>572.6</v>
      </c>
      <c r="M288" s="1">
        <v>733347.65</v>
      </c>
      <c r="N288" s="122">
        <v>4018046.303</v>
      </c>
      <c r="O288" s="1">
        <v>965.6</v>
      </c>
      <c r="U288" s="130" t="s">
        <v>72</v>
      </c>
      <c r="V288" s="122" t="s">
        <v>361</v>
      </c>
    </row>
    <row r="289" spans="8:8" ht="15.0" customHeight="1">
      <c r="K289" s="2">
        <v>487.0</v>
      </c>
      <c r="L289" s="2">
        <v>573.8</v>
      </c>
      <c r="M289" s="1">
        <v>733347.066</v>
      </c>
      <c r="N289" s="122">
        <v>4018047.351</v>
      </c>
      <c r="O289" s="1">
        <v>965.606</v>
      </c>
      <c r="U289" s="130" t="s">
        <v>74</v>
      </c>
      <c r="V289" s="122" t="s">
        <v>362</v>
      </c>
    </row>
    <row r="290" spans="8:8" ht="15.0" customHeight="1">
      <c r="K290" s="2">
        <v>488.0</v>
      </c>
      <c r="L290" s="2">
        <v>575.0</v>
      </c>
      <c r="M290" s="1">
        <v>733346.493</v>
      </c>
      <c r="N290" s="122">
        <v>4018048.405</v>
      </c>
      <c r="O290" s="1">
        <v>965.612</v>
      </c>
      <c r="U290" s="130" t="s">
        <v>54</v>
      </c>
      <c r="V290" s="122" t="s">
        <v>363</v>
      </c>
    </row>
    <row r="291" spans="8:8" ht="15.0" customHeight="1">
      <c r="K291" s="2">
        <v>489.0</v>
      </c>
      <c r="L291" s="2">
        <v>576.2</v>
      </c>
      <c r="M291" s="1">
        <v>733345.931</v>
      </c>
      <c r="N291" s="122">
        <v>4018049.466</v>
      </c>
      <c r="O291" s="1">
        <v>965.619</v>
      </c>
      <c r="U291" s="130" t="s">
        <v>62</v>
      </c>
      <c r="V291" s="122" t="s">
        <v>364</v>
      </c>
    </row>
    <row r="292" spans="8:8" ht="15.0" customHeight="1">
      <c r="K292" s="2">
        <v>490.0</v>
      </c>
      <c r="L292" s="2">
        <v>577.4</v>
      </c>
      <c r="M292" s="1">
        <v>733345.415</v>
      </c>
      <c r="N292" s="122">
        <v>4018050.548</v>
      </c>
      <c r="O292" s="1">
        <v>965.625</v>
      </c>
      <c r="U292" s="130" t="s">
        <v>65</v>
      </c>
      <c r="V292" s="122" t="s">
        <v>365</v>
      </c>
    </row>
    <row r="293" spans="8:8" ht="15.0" customHeight="1">
      <c r="K293" s="2">
        <v>491.0</v>
      </c>
      <c r="L293" s="2">
        <v>578.6</v>
      </c>
      <c r="M293" s="1">
        <v>733344.916</v>
      </c>
      <c r="N293" s="122">
        <v>4018051.64</v>
      </c>
      <c r="O293" s="1">
        <v>965.631</v>
      </c>
      <c r="U293" s="130" t="s">
        <v>67</v>
      </c>
      <c r="V293" s="122" t="s">
        <v>366</v>
      </c>
    </row>
    <row r="294" spans="8:8" ht="15.0" customHeight="1">
      <c r="K294" s="2">
        <v>492.0</v>
      </c>
      <c r="L294" s="2">
        <v>579.8</v>
      </c>
      <c r="M294" s="1">
        <v>733344.418</v>
      </c>
      <c r="N294" s="122">
        <v>4018052.732</v>
      </c>
      <c r="O294" s="1">
        <v>965.637</v>
      </c>
      <c r="U294" s="130" t="s">
        <v>69</v>
      </c>
      <c r="V294" s="122" t="s">
        <v>367</v>
      </c>
    </row>
    <row r="295" spans="8:8" ht="15.0" customHeight="1">
      <c r="K295" s="2">
        <v>493.0</v>
      </c>
      <c r="L295" s="2">
        <v>581.0</v>
      </c>
      <c r="M295" s="1">
        <v>733343.92</v>
      </c>
      <c r="N295" s="122">
        <v>4018053.824</v>
      </c>
      <c r="O295" s="1">
        <v>965.644</v>
      </c>
      <c r="U295" s="130" t="s">
        <v>72</v>
      </c>
      <c r="V295" s="122"/>
    </row>
    <row r="296" spans="8:8" ht="15.0" customHeight="1">
      <c r="K296" s="2">
        <v>494.0</v>
      </c>
      <c r="L296" s="2">
        <v>582.2</v>
      </c>
      <c r="M296" s="1">
        <v>733343.422</v>
      </c>
      <c r="N296" s="122">
        <v>4018054.915</v>
      </c>
      <c r="O296" s="1">
        <v>965.65</v>
      </c>
      <c r="U296" s="130" t="s">
        <v>74</v>
      </c>
      <c r="V296" s="122" t="s">
        <v>368</v>
      </c>
    </row>
    <row r="297" spans="8:8" ht="15.0" customHeight="1">
      <c r="K297" s="2">
        <v>495.0</v>
      </c>
      <c r="L297" s="2">
        <v>583.4</v>
      </c>
      <c r="M297" s="1">
        <v>733342.929</v>
      </c>
      <c r="N297" s="122">
        <v>4018056.009</v>
      </c>
      <c r="O297" s="1">
        <v>965.656</v>
      </c>
      <c r="U297" s="130" t="s">
        <v>54</v>
      </c>
      <c r="V297" s="122" t="s">
        <v>369</v>
      </c>
    </row>
    <row r="298" spans="8:8" ht="15.0" customHeight="1">
      <c r="K298" s="2">
        <v>496.0</v>
      </c>
      <c r="L298" s="2">
        <v>584.6</v>
      </c>
      <c r="M298" s="1">
        <v>733342.349</v>
      </c>
      <c r="N298" s="122">
        <v>4018057.059</v>
      </c>
      <c r="O298" s="1">
        <v>965.663</v>
      </c>
      <c r="U298" s="130" t="s">
        <v>62</v>
      </c>
      <c r="V298" s="122" t="s">
        <v>370</v>
      </c>
    </row>
    <row r="299" spans="8:8" ht="15.0" customHeight="1">
      <c r="K299" s="2">
        <v>497.0</v>
      </c>
      <c r="L299" s="2">
        <v>585.8</v>
      </c>
      <c r="M299" s="1">
        <v>733341.617</v>
      </c>
      <c r="N299" s="122">
        <v>4018058.008</v>
      </c>
      <c r="O299" s="1">
        <v>965.669</v>
      </c>
      <c r="U299" s="130" t="s">
        <v>65</v>
      </c>
      <c r="V299" s="122" t="s">
        <v>371</v>
      </c>
    </row>
    <row r="300" spans="8:8" ht="15.0" customHeight="1">
      <c r="K300" s="2">
        <v>498.0</v>
      </c>
      <c r="L300" s="2">
        <v>587.0</v>
      </c>
      <c r="M300" s="1">
        <v>733340.835</v>
      </c>
      <c r="N300" s="122">
        <v>4018058.919</v>
      </c>
      <c r="O300" s="1">
        <v>965.669</v>
      </c>
      <c r="U300" s="130" t="s">
        <v>67</v>
      </c>
      <c r="V300" s="122" t="s">
        <v>372</v>
      </c>
    </row>
    <row r="301" spans="8:8" ht="15.0" customHeight="1">
      <c r="K301" s="2">
        <v>499.0</v>
      </c>
      <c r="L301" s="2">
        <v>588.2</v>
      </c>
      <c r="M301" s="1">
        <v>733340.054</v>
      </c>
      <c r="N301" s="122">
        <v>4018059.829</v>
      </c>
      <c r="O301" s="1">
        <v>965.66</v>
      </c>
      <c r="U301" s="130" t="s">
        <v>69</v>
      </c>
      <c r="V301" s="122" t="s">
        <v>373</v>
      </c>
    </row>
    <row r="302" spans="8:8" ht="15.0" customHeight="1">
      <c r="K302" s="2">
        <v>500.0</v>
      </c>
      <c r="L302" s="2">
        <v>589.4</v>
      </c>
      <c r="M302" s="1">
        <v>733339.272</v>
      </c>
      <c r="N302" s="122">
        <v>4018060.739</v>
      </c>
      <c r="O302" s="1">
        <v>965.651</v>
      </c>
      <c r="U302" s="130" t="s">
        <v>72</v>
      </c>
      <c r="V302" s="122" t="s">
        <v>374</v>
      </c>
    </row>
    <row r="303" spans="8:8" ht="15.0" customHeight="1">
      <c r="K303" s="2">
        <v>501.0</v>
      </c>
      <c r="L303" s="2">
        <v>590.6</v>
      </c>
      <c r="M303" s="1">
        <v>733338.49</v>
      </c>
      <c r="N303" s="122">
        <v>4018061.65</v>
      </c>
      <c r="O303" s="1">
        <v>965.643</v>
      </c>
      <c r="U303" s="130" t="s">
        <v>74</v>
      </c>
      <c r="V303" s="122" t="s">
        <v>375</v>
      </c>
    </row>
    <row r="304" spans="8:8" ht="15.0" customHeight="1">
      <c r="K304" s="2">
        <v>502.0</v>
      </c>
      <c r="L304" s="2">
        <v>591.8</v>
      </c>
      <c r="M304" s="1">
        <v>733337.713</v>
      </c>
      <c r="N304" s="122">
        <v>4018062.564</v>
      </c>
      <c r="O304" s="1">
        <v>965.634</v>
      </c>
      <c r="U304" s="130" t="s">
        <v>54</v>
      </c>
      <c r="V304" s="122" t="s">
        <v>376</v>
      </c>
    </row>
    <row r="305" spans="8:8" ht="15.0" customHeight="1">
      <c r="K305" s="2">
        <v>503.0</v>
      </c>
      <c r="L305" s="2">
        <v>593.0</v>
      </c>
      <c r="M305" s="1">
        <v>733336.949</v>
      </c>
      <c r="N305" s="122">
        <v>4018063.489</v>
      </c>
      <c r="O305" s="1">
        <v>965.625</v>
      </c>
      <c r="U305" s="130" t="s">
        <v>62</v>
      </c>
      <c r="V305" s="122" t="s">
        <v>377</v>
      </c>
    </row>
    <row r="306" spans="8:8" ht="15.0" customHeight="1">
      <c r="K306" s="2">
        <v>504.0</v>
      </c>
      <c r="L306" s="2">
        <v>594.2</v>
      </c>
      <c r="M306" s="1">
        <v>733336.184</v>
      </c>
      <c r="N306" s="122">
        <v>4018064.414</v>
      </c>
      <c r="O306" s="1">
        <v>965.617</v>
      </c>
      <c r="U306" s="130" t="s">
        <v>65</v>
      </c>
      <c r="V306" s="122" t="s">
        <v>378</v>
      </c>
    </row>
    <row r="307" spans="8:8" ht="15.0" customHeight="1">
      <c r="K307" s="2">
        <v>505.0</v>
      </c>
      <c r="L307" s="2">
        <v>595.4</v>
      </c>
      <c r="M307" s="1">
        <v>733335.419</v>
      </c>
      <c r="N307" s="122">
        <v>4018065.339</v>
      </c>
      <c r="O307" s="1">
        <v>965.608</v>
      </c>
      <c r="U307" s="130" t="s">
        <v>67</v>
      </c>
      <c r="V307" s="122" t="s">
        <v>379</v>
      </c>
    </row>
    <row r="308" spans="8:8" ht="15.0" customHeight="1">
      <c r="K308" s="2">
        <v>506.0</v>
      </c>
      <c r="L308" s="2">
        <v>596.6</v>
      </c>
      <c r="M308" s="1">
        <v>733334.583</v>
      </c>
      <c r="N308" s="122">
        <v>4018066.199</v>
      </c>
      <c r="O308" s="1">
        <v>965.599</v>
      </c>
      <c r="U308" s="130" t="s">
        <v>69</v>
      </c>
      <c r="V308" s="122" t="s">
        <v>380</v>
      </c>
    </row>
    <row r="309" spans="8:8" ht="15.0" customHeight="1">
      <c r="K309" s="2">
        <v>507.0</v>
      </c>
      <c r="L309" s="2">
        <v>597.8</v>
      </c>
      <c r="M309" s="1">
        <v>733333.741</v>
      </c>
      <c r="N309" s="122">
        <v>4018067.054</v>
      </c>
      <c r="O309" s="1">
        <v>965.591</v>
      </c>
      <c r="U309" s="130" t="s">
        <v>72</v>
      </c>
      <c r="V309" s="122" t="s">
        <v>381</v>
      </c>
    </row>
    <row r="310" spans="8:8" ht="15.0" customHeight="1">
      <c r="K310" s="2">
        <v>508.0</v>
      </c>
      <c r="L310" s="2">
        <v>599.0</v>
      </c>
      <c r="M310" s="1">
        <v>733332.899</v>
      </c>
      <c r="N310" s="122">
        <v>4018067.909</v>
      </c>
      <c r="O310" s="1">
        <v>965.582</v>
      </c>
      <c r="U310" s="130" t="s">
        <v>74</v>
      </c>
      <c r="V310" s="122" t="s">
        <v>382</v>
      </c>
    </row>
    <row r="311" spans="8:8" ht="15.0" customHeight="1">
      <c r="K311" s="2">
        <v>509.0</v>
      </c>
      <c r="L311" s="2">
        <v>600.2</v>
      </c>
      <c r="M311" s="1">
        <v>733332.035</v>
      </c>
      <c r="N311" s="122">
        <v>4018068.741</v>
      </c>
      <c r="O311" s="1">
        <v>965.573</v>
      </c>
      <c r="U311" s="130" t="s">
        <v>54</v>
      </c>
      <c r="V311" s="122" t="s">
        <v>383</v>
      </c>
    </row>
    <row r="312" spans="8:8" ht="15.0" customHeight="1">
      <c r="K312" s="2">
        <v>510.0</v>
      </c>
      <c r="L312" s="2">
        <v>601.4</v>
      </c>
      <c r="M312" s="1">
        <v>733331.171</v>
      </c>
      <c r="N312" s="122">
        <v>4018069.575</v>
      </c>
      <c r="O312" s="1">
        <v>965.565</v>
      </c>
      <c r="U312" s="130" t="s">
        <v>62</v>
      </c>
      <c r="V312" s="122" t="s">
        <v>384</v>
      </c>
    </row>
    <row r="313" spans="8:8" ht="15.0" customHeight="1">
      <c r="K313" s="2">
        <v>511.0</v>
      </c>
      <c r="L313" s="2">
        <v>602.6</v>
      </c>
      <c r="M313" s="1">
        <v>733330.313</v>
      </c>
      <c r="N313" s="122">
        <v>4018070.413</v>
      </c>
      <c r="O313" s="1">
        <v>965.556</v>
      </c>
      <c r="U313" s="130" t="s">
        <v>65</v>
      </c>
      <c r="V313" s="122" t="s">
        <v>385</v>
      </c>
    </row>
    <row r="314" spans="8:8" ht="15.0" customHeight="1">
      <c r="K314" s="2">
        <v>512.0</v>
      </c>
      <c r="L314" s="2">
        <v>603.8</v>
      </c>
      <c r="M314" s="1">
        <v>733329.445</v>
      </c>
      <c r="N314" s="122">
        <v>4018071.242</v>
      </c>
      <c r="O314" s="1">
        <v>965.547</v>
      </c>
      <c r="U314" s="130" t="s">
        <v>67</v>
      </c>
      <c r="V314" s="122" t="s">
        <v>386</v>
      </c>
    </row>
    <row r="315" spans="8:8" ht="15.0" customHeight="1">
      <c r="K315" s="2">
        <v>513.0</v>
      </c>
      <c r="L315" s="2">
        <v>605.0</v>
      </c>
      <c r="M315" s="1">
        <v>733328.566</v>
      </c>
      <c r="N315" s="122">
        <v>4018072.059</v>
      </c>
      <c r="O315" s="1">
        <v>965.539</v>
      </c>
      <c r="U315" s="130" t="s">
        <v>69</v>
      </c>
      <c r="V315" s="122" t="s">
        <v>387</v>
      </c>
    </row>
    <row r="316" spans="8:8" ht="15.0" customHeight="1">
      <c r="K316" s="2">
        <v>514.0</v>
      </c>
      <c r="L316" s="2">
        <v>606.2</v>
      </c>
      <c r="M316" s="1">
        <v>733327.688</v>
      </c>
      <c r="N316" s="122">
        <v>4018072.877</v>
      </c>
      <c r="O316" s="1">
        <v>965.53</v>
      </c>
      <c r="U316" s="130" t="s">
        <v>72</v>
      </c>
      <c r="V316" s="122" t="s">
        <v>388</v>
      </c>
    </row>
    <row r="317" spans="8:8" ht="15.0" customHeight="1">
      <c r="K317" s="2">
        <v>515.0</v>
      </c>
      <c r="L317" s="2">
        <v>607.4</v>
      </c>
      <c r="M317" s="1">
        <v>733326.809</v>
      </c>
      <c r="N317" s="122">
        <v>4018073.694</v>
      </c>
      <c r="O317" s="1">
        <v>965.521</v>
      </c>
      <c r="U317" s="130" t="s">
        <v>74</v>
      </c>
      <c r="V317" s="122" t="s">
        <v>389</v>
      </c>
    </row>
    <row r="318" spans="8:8" ht="15.0" customHeight="1">
      <c r="K318" s="2">
        <v>516.0</v>
      </c>
      <c r="L318" s="2">
        <v>608.6</v>
      </c>
      <c r="M318" s="1">
        <v>733325.931</v>
      </c>
      <c r="N318" s="122">
        <v>4018074.511</v>
      </c>
      <c r="O318" s="1">
        <v>965.513</v>
      </c>
      <c r="U318" s="130" t="s">
        <v>54</v>
      </c>
      <c r="V318" s="122" t="s">
        <v>390</v>
      </c>
    </row>
    <row r="319" spans="8:8" ht="15.0" customHeight="1">
      <c r="K319" s="2">
        <v>517.0</v>
      </c>
      <c r="L319" s="2">
        <v>609.8</v>
      </c>
      <c r="M319" s="1">
        <v>733325.052</v>
      </c>
      <c r="N319" s="122">
        <v>4018075.329</v>
      </c>
      <c r="O319" s="1">
        <v>965.504</v>
      </c>
      <c r="U319" s="130" t="s">
        <v>62</v>
      </c>
      <c r="V319" s="122" t="s">
        <v>391</v>
      </c>
    </row>
    <row r="320" spans="8:8" ht="15.0" customHeight="1">
      <c r="K320" s="2">
        <v>518.0</v>
      </c>
      <c r="L320" s="2">
        <v>611.0</v>
      </c>
      <c r="M320" s="1">
        <v>733324.173</v>
      </c>
      <c r="N320" s="122">
        <v>4018076.146</v>
      </c>
      <c r="O320" s="1">
        <v>965.495</v>
      </c>
      <c r="U320" s="130" t="s">
        <v>65</v>
      </c>
      <c r="V320" s="122" t="s">
        <v>392</v>
      </c>
    </row>
    <row r="321" spans="8:8" ht="15.0" customHeight="1">
      <c r="K321" s="2">
        <v>519.0</v>
      </c>
      <c r="L321" s="2">
        <v>612.2</v>
      </c>
      <c r="M321" s="1">
        <v>733323.295</v>
      </c>
      <c r="N321" s="122">
        <v>4018076.963</v>
      </c>
      <c r="O321" s="1">
        <v>965.487</v>
      </c>
      <c r="U321" s="130" t="s">
        <v>67</v>
      </c>
      <c r="V321" s="122" t="s">
        <v>393</v>
      </c>
    </row>
    <row r="322" spans="8:8" ht="15.0" customHeight="1">
      <c r="K322" s="2">
        <v>520.0</v>
      </c>
      <c r="L322" s="2">
        <v>613.4</v>
      </c>
      <c r="M322" s="1">
        <v>733322.416</v>
      </c>
      <c r="N322" s="122">
        <v>4018077.781</v>
      </c>
      <c r="O322" s="1">
        <v>965.478</v>
      </c>
      <c r="U322" s="130" t="s">
        <v>69</v>
      </c>
      <c r="V322" s="122" t="s">
        <v>394</v>
      </c>
    </row>
    <row r="323" spans="8:8" ht="15.0" customHeight="1">
      <c r="K323" s="2">
        <v>521.0</v>
      </c>
      <c r="L323" s="2">
        <v>614.6</v>
      </c>
      <c r="M323" s="1">
        <v>733321.538</v>
      </c>
      <c r="N323" s="122">
        <v>4018078.598</v>
      </c>
      <c r="O323" s="1">
        <v>965.469</v>
      </c>
      <c r="U323" s="130" t="s">
        <v>72</v>
      </c>
      <c r="V323" s="122" t="s">
        <v>395</v>
      </c>
    </row>
    <row r="324" spans="8:8" ht="15.0" customHeight="1">
      <c r="K324" s="2">
        <v>522.0</v>
      </c>
      <c r="L324" s="2">
        <v>615.8</v>
      </c>
      <c r="M324" s="1">
        <v>733320.659</v>
      </c>
      <c r="N324" s="122">
        <v>4018079.415</v>
      </c>
      <c r="O324" s="1">
        <v>965.461</v>
      </c>
      <c r="U324" s="130" t="s">
        <v>74</v>
      </c>
      <c r="V324" s="122" t="s">
        <v>396</v>
      </c>
    </row>
    <row r="325" spans="8:8" ht="15.0" customHeight="1">
      <c r="K325" s="2">
        <v>523.0</v>
      </c>
      <c r="L325" s="2">
        <v>617.0</v>
      </c>
      <c r="M325" s="1">
        <v>733319.78</v>
      </c>
      <c r="N325" s="122">
        <v>4018080.233</v>
      </c>
      <c r="O325" s="1">
        <v>965.452</v>
      </c>
      <c r="U325" s="130" t="s">
        <v>54</v>
      </c>
      <c r="V325" s="122" t="s">
        <v>397</v>
      </c>
    </row>
    <row r="326" spans="8:8" ht="15.0" customHeight="1">
      <c r="K326" s="2">
        <v>524.0</v>
      </c>
      <c r="L326" s="2">
        <v>618.2</v>
      </c>
      <c r="M326" s="1">
        <v>733318.902</v>
      </c>
      <c r="N326" s="122">
        <v>4018081.05</v>
      </c>
      <c r="O326" s="1">
        <v>965.443</v>
      </c>
      <c r="U326" s="130" t="s">
        <v>62</v>
      </c>
      <c r="V326" s="122" t="s">
        <v>398</v>
      </c>
    </row>
    <row r="327" spans="8:8" ht="15.0" customHeight="1">
      <c r="K327" s="2">
        <v>525.0</v>
      </c>
      <c r="L327" s="2">
        <v>619.4</v>
      </c>
      <c r="M327" s="1">
        <v>733318.023</v>
      </c>
      <c r="N327" s="122">
        <v>4018081.867</v>
      </c>
      <c r="O327" s="1">
        <v>965.435</v>
      </c>
      <c r="U327" s="130" t="s">
        <v>65</v>
      </c>
      <c r="V327" s="122" t="s">
        <v>399</v>
      </c>
    </row>
    <row r="328" spans="8:8" ht="15.0" customHeight="1">
      <c r="K328" s="2">
        <v>526.0</v>
      </c>
      <c r="L328" s="2">
        <v>620.6</v>
      </c>
      <c r="M328" s="1">
        <v>733317.145</v>
      </c>
      <c r="N328" s="122">
        <v>4018082.685</v>
      </c>
      <c r="O328" s="1">
        <v>965.426</v>
      </c>
      <c r="U328" s="130" t="s">
        <v>67</v>
      </c>
      <c r="V328" s="122" t="s">
        <v>400</v>
      </c>
    </row>
    <row r="329" spans="8:8" ht="15.0" customHeight="1">
      <c r="K329" s="2">
        <v>527.0</v>
      </c>
      <c r="L329" s="2">
        <v>621.8</v>
      </c>
      <c r="M329" s="1">
        <v>733316.266</v>
      </c>
      <c r="N329" s="122">
        <v>4018083.502</v>
      </c>
      <c r="O329" s="1">
        <v>965.417</v>
      </c>
      <c r="U329" s="130" t="s">
        <v>69</v>
      </c>
      <c r="V329" s="122" t="s">
        <v>401</v>
      </c>
    </row>
    <row r="330" spans="8:8" ht="15.0" customHeight="1">
      <c r="K330" s="2">
        <v>528.0</v>
      </c>
      <c r="L330" s="2">
        <v>623.0</v>
      </c>
      <c r="M330" s="1">
        <v>733315.387</v>
      </c>
      <c r="N330" s="122">
        <v>4018084.319</v>
      </c>
      <c r="O330" s="1">
        <v>965.409</v>
      </c>
      <c r="U330" s="130" t="s">
        <v>72</v>
      </c>
      <c r="V330" s="122" t="s">
        <v>402</v>
      </c>
    </row>
    <row r="331" spans="8:8" ht="15.0" customHeight="1">
      <c r="K331" s="2">
        <v>529.0</v>
      </c>
      <c r="L331" s="2">
        <v>624.2</v>
      </c>
      <c r="M331" s="1">
        <v>733314.509</v>
      </c>
      <c r="N331" s="122">
        <v>4018085.137</v>
      </c>
      <c r="O331" s="1">
        <v>965.4</v>
      </c>
      <c r="U331" s="130" t="s">
        <v>74</v>
      </c>
      <c r="V331" s="122" t="s">
        <v>403</v>
      </c>
    </row>
    <row r="332" spans="8:8" ht="15.0" customHeight="1">
      <c r="K332" s="2">
        <v>530.0</v>
      </c>
      <c r="L332" s="2">
        <v>625.4</v>
      </c>
      <c r="M332" s="1">
        <v>733313.63</v>
      </c>
      <c r="N332" s="122">
        <v>4018085.954</v>
      </c>
      <c r="O332" s="1">
        <v>965.391</v>
      </c>
      <c r="U332" s="130" t="s">
        <v>54</v>
      </c>
      <c r="V332" s="122" t="s">
        <v>404</v>
      </c>
    </row>
    <row r="333" spans="8:8" ht="15.0" customHeight="1">
      <c r="K333" s="2">
        <v>531.0</v>
      </c>
      <c r="L333" s="2">
        <v>626.6</v>
      </c>
      <c r="M333" s="1">
        <v>733312.751</v>
      </c>
      <c r="N333" s="122">
        <v>4018086.771</v>
      </c>
      <c r="O333" s="1">
        <v>965.383</v>
      </c>
      <c r="U333" s="130" t="s">
        <v>62</v>
      </c>
      <c r="V333" s="122" t="s">
        <v>405</v>
      </c>
    </row>
    <row r="334" spans="8:8" ht="15.0" customHeight="1">
      <c r="K334" s="2">
        <v>532.0</v>
      </c>
      <c r="L334" s="2">
        <v>627.8</v>
      </c>
      <c r="M334" s="1">
        <v>733311.873</v>
      </c>
      <c r="N334" s="122">
        <v>4018087.589</v>
      </c>
      <c r="O334" s="1">
        <v>965.374</v>
      </c>
      <c r="U334" s="130" t="s">
        <v>65</v>
      </c>
      <c r="V334" s="122" t="s">
        <v>406</v>
      </c>
    </row>
    <row r="335" spans="8:8" ht="15.0" customHeight="1">
      <c r="K335" s="2">
        <v>533.0</v>
      </c>
      <c r="L335" s="2">
        <v>629.0</v>
      </c>
      <c r="M335" s="1">
        <v>733310.994</v>
      </c>
      <c r="N335" s="122">
        <v>4018088.406</v>
      </c>
      <c r="O335" s="1">
        <v>965.365</v>
      </c>
      <c r="U335" s="130" t="s">
        <v>67</v>
      </c>
      <c r="V335" s="122" t="s">
        <v>407</v>
      </c>
    </row>
    <row r="336" spans="8:8" ht="15.0" customHeight="1">
      <c r="K336" s="2">
        <v>534.0</v>
      </c>
      <c r="L336" s="2">
        <v>630.2</v>
      </c>
      <c r="M336" s="1">
        <v>733310.116</v>
      </c>
      <c r="N336" s="122">
        <v>4018089.223</v>
      </c>
      <c r="O336" s="1">
        <v>965.357</v>
      </c>
      <c r="U336" s="130" t="s">
        <v>69</v>
      </c>
      <c r="V336" s="122" t="s">
        <v>408</v>
      </c>
    </row>
    <row r="337" spans="8:8" ht="15.0" customHeight="1">
      <c r="K337" s="2">
        <v>535.0</v>
      </c>
      <c r="L337" s="2">
        <v>631.4</v>
      </c>
      <c r="M337" s="1">
        <v>733309.238</v>
      </c>
      <c r="N337" s="122">
        <v>4018090.041</v>
      </c>
      <c r="O337" s="1">
        <v>965.348</v>
      </c>
      <c r="U337" s="130" t="s">
        <v>72</v>
      </c>
      <c r="V337" s="122" t="s">
        <v>409</v>
      </c>
    </row>
    <row r="338" spans="8:8" ht="15.0" customHeight="1">
      <c r="K338" s="2">
        <v>536.0</v>
      </c>
      <c r="L338" s="2">
        <v>632.6</v>
      </c>
      <c r="M338" s="1">
        <v>733308.443</v>
      </c>
      <c r="N338" s="122">
        <v>4018090.94</v>
      </c>
      <c r="O338" s="1">
        <v>965.339</v>
      </c>
      <c r="U338" s="130" t="s">
        <v>74</v>
      </c>
      <c r="V338" s="122" t="s">
        <v>410</v>
      </c>
    </row>
    <row r="339" spans="8:8" ht="15.0" customHeight="1">
      <c r="K339" s="2">
        <v>537.0</v>
      </c>
      <c r="L339" s="2">
        <v>633.8</v>
      </c>
      <c r="M339" s="1">
        <v>733307.648</v>
      </c>
      <c r="N339" s="122">
        <v>4018091.839</v>
      </c>
      <c r="O339" s="1">
        <v>965.331</v>
      </c>
      <c r="U339" s="130" t="s">
        <v>54</v>
      </c>
      <c r="V339" s="122" t="s">
        <v>411</v>
      </c>
    </row>
    <row r="340" spans="8:8" ht="15.0" customHeight="1">
      <c r="K340" s="2">
        <v>538.0</v>
      </c>
      <c r="L340" s="2">
        <v>635.0</v>
      </c>
      <c r="M340" s="1">
        <v>733306.853</v>
      </c>
      <c r="N340" s="122">
        <v>4018092.738</v>
      </c>
      <c r="O340" s="1">
        <v>965.322</v>
      </c>
      <c r="U340" s="130" t="s">
        <v>62</v>
      </c>
      <c r="V340" s="122" t="s">
        <v>412</v>
      </c>
    </row>
    <row r="341" spans="8:8" ht="15.0" customHeight="1">
      <c r="K341" s="2">
        <v>739.0</v>
      </c>
      <c r="L341" s="2">
        <v>876.200000000009</v>
      </c>
      <c r="M341" s="1">
        <v>733165.274</v>
      </c>
      <c r="N341" s="122">
        <v>4018285.077</v>
      </c>
      <c r="O341" s="1">
        <v>966.34</v>
      </c>
      <c r="U341" s="130" t="s">
        <v>65</v>
      </c>
      <c r="V341" s="122" t="s">
        <v>413</v>
      </c>
    </row>
    <row r="342" spans="8:8" ht="15.0" customHeight="1">
      <c r="K342" s="2">
        <v>740.0</v>
      </c>
      <c r="L342" s="2">
        <v>877.400000000009</v>
      </c>
      <c r="M342" s="1">
        <v>733165.399</v>
      </c>
      <c r="N342" s="122">
        <v>4018286.27</v>
      </c>
      <c r="O342" s="1">
        <v>966.395</v>
      </c>
      <c r="U342" s="130" t="s">
        <v>67</v>
      </c>
      <c r="V342" s="122" t="s">
        <v>414</v>
      </c>
    </row>
    <row r="343" spans="8:8" ht="15.0" customHeight="1">
      <c r="K343" s="2">
        <v>741.0</v>
      </c>
      <c r="L343" s="2">
        <v>878.600000000009</v>
      </c>
      <c r="M343" s="1">
        <v>733165.553</v>
      </c>
      <c r="N343" s="122">
        <v>4018287.46</v>
      </c>
      <c r="O343" s="1">
        <v>966.45</v>
      </c>
      <c r="U343" s="130" t="s">
        <v>69</v>
      </c>
      <c r="V343" s="122" t="s">
        <v>415</v>
      </c>
    </row>
    <row r="344" spans="8:8" ht="15.0" customHeight="1">
      <c r="K344" s="2">
        <v>742.0</v>
      </c>
      <c r="L344" s="2">
        <v>879.800000000009</v>
      </c>
      <c r="M344" s="1">
        <v>733165.735</v>
      </c>
      <c r="N344" s="122">
        <v>4018288.646</v>
      </c>
      <c r="O344" s="1">
        <v>966.505</v>
      </c>
      <c r="U344" s="130" t="s">
        <v>72</v>
      </c>
      <c r="V344" s="122" t="s">
        <v>416</v>
      </c>
    </row>
    <row r="345" spans="8:8" ht="15.0" customHeight="1">
      <c r="K345" s="2">
        <v>743.0</v>
      </c>
      <c r="L345" s="2">
        <v>881.000000000009</v>
      </c>
      <c r="M345" s="1">
        <v>733165.946</v>
      </c>
      <c r="N345" s="122">
        <v>4018289.828</v>
      </c>
      <c r="O345" s="1">
        <v>966.56</v>
      </c>
      <c r="U345" s="130" t="s">
        <v>74</v>
      </c>
      <c r="V345" s="122" t="s">
        <v>417</v>
      </c>
    </row>
    <row r="346" spans="8:8" ht="15.0" customHeight="1">
      <c r="K346" s="2">
        <v>744.0</v>
      </c>
      <c r="L346" s="2">
        <v>882.200000000009</v>
      </c>
      <c r="M346" s="1">
        <v>733166.184</v>
      </c>
      <c r="N346" s="122">
        <v>4018291.004</v>
      </c>
      <c r="O346" s="1">
        <v>966.615</v>
      </c>
      <c r="U346" s="130" t="s">
        <v>54</v>
      </c>
      <c r="V346" s="122" t="s">
        <v>418</v>
      </c>
    </row>
    <row r="347" spans="8:8" ht="15.0" customHeight="1">
      <c r="K347" s="2">
        <v>745.0</v>
      </c>
      <c r="L347" s="2">
        <v>883.400000000009</v>
      </c>
      <c r="M347" s="1">
        <v>733166.451</v>
      </c>
      <c r="N347" s="122">
        <v>4018292.174</v>
      </c>
      <c r="O347" s="1">
        <v>966.67</v>
      </c>
      <c r="U347" s="130" t="s">
        <v>62</v>
      </c>
      <c r="V347" s="122" t="s">
        <v>419</v>
      </c>
    </row>
    <row r="348" spans="8:8" ht="15.0" customHeight="1">
      <c r="K348" s="2">
        <v>746.0</v>
      </c>
      <c r="L348" s="2">
        <v>884.60000000001</v>
      </c>
      <c r="M348" s="1">
        <v>733166.746</v>
      </c>
      <c r="N348" s="122">
        <v>4018293.337</v>
      </c>
      <c r="O348" s="1">
        <v>966.725</v>
      </c>
      <c r="U348" s="130" t="s">
        <v>65</v>
      </c>
      <c r="V348" s="122" t="s">
        <v>420</v>
      </c>
    </row>
    <row r="349" spans="8:8" ht="15.0" customHeight="1">
      <c r="K349" s="2">
        <v>747.0</v>
      </c>
      <c r="L349" s="2">
        <v>885.80000000001</v>
      </c>
      <c r="M349" s="1">
        <v>733167.068</v>
      </c>
      <c r="N349" s="122">
        <v>4018294.493</v>
      </c>
      <c r="O349" s="1">
        <v>966.78</v>
      </c>
      <c r="U349" s="130" t="s">
        <v>67</v>
      </c>
      <c r="V349" s="122" t="s">
        <v>421</v>
      </c>
    </row>
    <row r="350" spans="8:8" ht="15.0" customHeight="1">
      <c r="K350" s="2">
        <v>748.0</v>
      </c>
      <c r="L350" s="2">
        <v>887.00000000001</v>
      </c>
      <c r="M350" s="1">
        <v>733167.418</v>
      </c>
      <c r="N350" s="122">
        <v>4018295.64</v>
      </c>
      <c r="O350" s="1">
        <v>966.835</v>
      </c>
      <c r="U350" s="130" t="s">
        <v>69</v>
      </c>
      <c r="V350" s="122" t="s">
        <v>422</v>
      </c>
    </row>
    <row r="351" spans="8:8" ht="15.0" customHeight="1">
      <c r="K351" s="2">
        <v>749.0</v>
      </c>
      <c r="L351" s="2">
        <v>888.20000000001</v>
      </c>
      <c r="M351" s="1">
        <v>733167.796</v>
      </c>
      <c r="N351" s="122">
        <v>4018296.779</v>
      </c>
      <c r="O351" s="1">
        <v>966.89</v>
      </c>
      <c r="U351" s="130" t="s">
        <v>423</v>
      </c>
      <c r="V351" s="122" t="s">
        <v>424</v>
      </c>
    </row>
    <row r="352" spans="8:8" ht="15.0" customHeight="1">
      <c r="K352" s="2">
        <v>750.0</v>
      </c>
      <c r="L352" s="2">
        <v>889.40000000001</v>
      </c>
      <c r="M352" s="1">
        <v>733168.247</v>
      </c>
      <c r="N352" s="122">
        <v>4018297.89</v>
      </c>
      <c r="O352" s="1">
        <v>966.946</v>
      </c>
      <c r="U352" s="130" t="s">
        <v>74</v>
      </c>
      <c r="V352" s="122" t="s">
        <v>425</v>
      </c>
    </row>
    <row r="353" spans="8:8" ht="15.0" customHeight="1">
      <c r="K353" s="2">
        <v>751.0</v>
      </c>
      <c r="L353" s="2">
        <v>890.60000000001</v>
      </c>
      <c r="M353" s="1">
        <v>733168.758</v>
      </c>
      <c r="N353" s="122">
        <v>4018298.975</v>
      </c>
      <c r="O353" s="1">
        <v>967.001</v>
      </c>
      <c r="U353" s="130" t="s">
        <v>54</v>
      </c>
      <c r="V353" s="122" t="s">
        <v>426</v>
      </c>
    </row>
    <row r="354" spans="8:8" ht="15.0" customHeight="1">
      <c r="K354" s="2">
        <v>752.0</v>
      </c>
      <c r="L354" s="2">
        <v>891.80000000001</v>
      </c>
      <c r="M354" s="1">
        <v>733169.269</v>
      </c>
      <c r="N354" s="122">
        <v>4018300.061</v>
      </c>
      <c r="O354" s="1">
        <v>967.056</v>
      </c>
      <c r="U354" s="130" t="s">
        <v>427</v>
      </c>
      <c r="V354" s="122" t="s">
        <v>428</v>
      </c>
    </row>
    <row r="355" spans="8:8" ht="15.0" customHeight="1">
      <c r="K355" s="2">
        <v>753.0</v>
      </c>
      <c r="L355" s="2">
        <v>893.00000000001</v>
      </c>
      <c r="M355" s="1">
        <v>733169.78</v>
      </c>
      <c r="N355" s="122">
        <v>4018301.147</v>
      </c>
      <c r="O355" s="1">
        <v>967.111</v>
      </c>
      <c r="U355" s="130" t="s">
        <v>65</v>
      </c>
      <c r="V355" s="122" t="s">
        <v>429</v>
      </c>
    </row>
    <row r="356" spans="8:8" ht="15.0" customHeight="1">
      <c r="K356" s="2">
        <v>754.0</v>
      </c>
      <c r="L356" s="2">
        <v>894.20000000001</v>
      </c>
      <c r="M356" s="1">
        <v>733170.292</v>
      </c>
      <c r="N356" s="122">
        <v>4018302.232</v>
      </c>
      <c r="O356" s="1">
        <v>967.166</v>
      </c>
      <c r="U356" s="130" t="s">
        <v>430</v>
      </c>
      <c r="V356" s="122" t="s">
        <v>431</v>
      </c>
    </row>
    <row r="357" spans="8:8" ht="15.0" customHeight="1">
      <c r="K357" s="2">
        <v>755.0</v>
      </c>
      <c r="L357" s="2">
        <v>895.40000000001</v>
      </c>
      <c r="M357" s="1">
        <v>733170.803</v>
      </c>
      <c r="N357" s="122">
        <v>4018303.318</v>
      </c>
      <c r="O357" s="1">
        <v>967.221</v>
      </c>
      <c r="U357" s="130" t="s">
        <v>69</v>
      </c>
      <c r="V357" s="122" t="s">
        <v>432</v>
      </c>
    </row>
    <row r="358" spans="8:8" ht="15.0" customHeight="1">
      <c r="K358" s="2">
        <v>756.0</v>
      </c>
      <c r="L358" s="2">
        <v>896.60000000001</v>
      </c>
      <c r="M358" s="1">
        <v>733171.314</v>
      </c>
      <c r="N358" s="122">
        <v>4018304.404</v>
      </c>
      <c r="O358" s="1">
        <v>967.276</v>
      </c>
      <c r="U358" s="130" t="s">
        <v>423</v>
      </c>
      <c r="V358" s="122" t="s">
        <v>433</v>
      </c>
    </row>
    <row r="359" spans="8:8" ht="15.0" customHeight="1">
      <c r="K359" s="2">
        <v>757.0</v>
      </c>
      <c r="L359" s="2">
        <v>897.80000000001</v>
      </c>
      <c r="M359" s="1">
        <v>733171.825</v>
      </c>
      <c r="N359" s="122">
        <v>4018305.49</v>
      </c>
      <c r="O359" s="1">
        <v>967.331</v>
      </c>
      <c r="U359" s="130" t="s">
        <v>74</v>
      </c>
      <c r="V359" s="122" t="s">
        <v>434</v>
      </c>
    </row>
    <row r="360" spans="8:8" ht="15.0" customHeight="1">
      <c r="K360" s="2">
        <v>758.0</v>
      </c>
      <c r="L360" s="2">
        <v>899.00000000001</v>
      </c>
      <c r="M360" s="1">
        <v>733172.336</v>
      </c>
      <c r="N360" s="122">
        <v>4018306.575</v>
      </c>
      <c r="O360" s="1">
        <v>967.386</v>
      </c>
      <c r="U360" s="130" t="s">
        <v>54</v>
      </c>
      <c r="V360" s="122" t="s">
        <v>435</v>
      </c>
    </row>
    <row r="361" spans="8:8" ht="15.0" customHeight="1">
      <c r="K361" s="2">
        <v>759.0</v>
      </c>
      <c r="L361" s="2">
        <v>900.20000000001</v>
      </c>
      <c r="M361" s="1">
        <v>733172.847</v>
      </c>
      <c r="N361" s="122">
        <v>4018307.661</v>
      </c>
      <c r="O361" s="1">
        <v>967.441</v>
      </c>
    </row>
    <row r="362" spans="8:8" ht="15.0" customHeight="1">
      <c r="K362" s="2">
        <v>760.0</v>
      </c>
      <c r="L362" s="2">
        <v>901.40000000001</v>
      </c>
      <c r="M362" s="1">
        <v>733173.358</v>
      </c>
      <c r="N362" s="122">
        <v>4018308.747</v>
      </c>
      <c r="O362" s="1">
        <v>967.496</v>
      </c>
    </row>
    <row r="363" spans="8:8" ht="15.0" customHeight="1">
      <c r="K363" s="2">
        <v>761.0</v>
      </c>
      <c r="L363" s="2">
        <v>902.60000000001</v>
      </c>
      <c r="M363" s="1">
        <v>733173.87</v>
      </c>
      <c r="N363" s="122">
        <v>4018309.832</v>
      </c>
      <c r="O363" s="1">
        <v>967.551</v>
      </c>
    </row>
    <row r="364" spans="8:8" ht="15.0" customHeight="1">
      <c r="K364" s="2">
        <v>762.0</v>
      </c>
      <c r="L364" s="2">
        <v>903.80000000001</v>
      </c>
      <c r="M364" s="1">
        <v>733174.381</v>
      </c>
      <c r="N364" s="122">
        <v>4018310.918</v>
      </c>
      <c r="O364" s="1">
        <v>967.606</v>
      </c>
    </row>
    <row r="365" spans="8:8" ht="15.0" customHeight="1">
      <c r="K365" s="2">
        <v>763.0</v>
      </c>
      <c r="L365" s="2">
        <v>905.00000000001</v>
      </c>
      <c r="M365" s="1">
        <v>733174.892</v>
      </c>
      <c r="N365" s="122">
        <v>4018312.004</v>
      </c>
      <c r="O365" s="1">
        <v>967.661</v>
      </c>
    </row>
    <row r="366" spans="8:8" ht="15.0" customHeight="1">
      <c r="K366" s="2">
        <v>764.0</v>
      </c>
      <c r="L366" s="2">
        <v>906.20000000001</v>
      </c>
      <c r="M366" s="1">
        <v>733175.403</v>
      </c>
      <c r="N366" s="122">
        <v>4018313.089</v>
      </c>
      <c r="O366" s="1">
        <v>967.716</v>
      </c>
    </row>
    <row r="367" spans="8:8" ht="15.0" customHeight="1">
      <c r="K367" s="2">
        <v>765.0</v>
      </c>
      <c r="L367" s="2">
        <v>907.40000000001</v>
      </c>
      <c r="M367" s="1">
        <v>733175.914</v>
      </c>
      <c r="N367" s="122">
        <v>4018314.175</v>
      </c>
      <c r="O367" s="1">
        <v>967.771</v>
      </c>
    </row>
    <row r="368" spans="8:8" ht="15.0" customHeight="1">
      <c r="K368" s="2">
        <v>766.0</v>
      </c>
      <c r="L368" s="2">
        <v>908.60000000001</v>
      </c>
      <c r="M368" s="1">
        <v>733176.425</v>
      </c>
      <c r="N368" s="122">
        <v>4018315.261</v>
      </c>
      <c r="O368" s="1">
        <v>967.826</v>
      </c>
    </row>
    <row r="369" spans="8:8" ht="15.0" customHeight="1">
      <c r="K369" s="2">
        <v>767.0</v>
      </c>
      <c r="L369" s="2">
        <v>909.80000000001</v>
      </c>
      <c r="M369" s="1">
        <v>733176.936</v>
      </c>
      <c r="N369" s="122">
        <v>4018316.347</v>
      </c>
      <c r="O369" s="1">
        <v>967.881</v>
      </c>
    </row>
    <row r="370" spans="8:8" ht="15.0" customHeight="1">
      <c r="K370" s="2">
        <v>768.0</v>
      </c>
      <c r="L370" s="2">
        <v>911.000000000011</v>
      </c>
      <c r="M370" s="1">
        <v>733176.936</v>
      </c>
      <c r="N370" s="122">
        <v>4018316.347</v>
      </c>
      <c r="O370" s="1">
        <v>967.874</v>
      </c>
    </row>
    <row r="371" spans="8:8" ht="15.0" customHeight="1">
      <c r="K371" s="2">
        <v>769.0</v>
      </c>
      <c r="L371" s="2">
        <v>912.200000000011</v>
      </c>
      <c r="M371" s="1">
        <v>733177.447</v>
      </c>
      <c r="N371" s="122">
        <v>4018317.432</v>
      </c>
      <c r="O371" s="1">
        <v>967.857</v>
      </c>
    </row>
    <row r="372" spans="8:8" ht="15.0" customHeight="1">
      <c r="K372" s="2">
        <v>770.0</v>
      </c>
      <c r="L372" s="2">
        <v>913.400000000011</v>
      </c>
      <c r="M372" s="1">
        <v>733177.959</v>
      </c>
      <c r="N372" s="122">
        <v>4018318.518</v>
      </c>
      <c r="O372" s="1">
        <v>967.841</v>
      </c>
    </row>
    <row r="373" spans="8:8" ht="15.0" customHeight="1">
      <c r="K373" s="2">
        <v>771.0</v>
      </c>
      <c r="L373" s="2">
        <v>914.600000000011</v>
      </c>
      <c r="M373" s="1">
        <v>733178.47</v>
      </c>
      <c r="N373" s="122">
        <v>4018319.604</v>
      </c>
      <c r="O373" s="1">
        <v>967.824</v>
      </c>
    </row>
    <row r="374" spans="8:8" ht="15.0" customHeight="1">
      <c r="K374" s="2">
        <v>772.0</v>
      </c>
      <c r="L374" s="2">
        <v>915.800000000011</v>
      </c>
      <c r="M374" s="1">
        <v>733178.981</v>
      </c>
      <c r="N374" s="122">
        <v>4018320.689</v>
      </c>
      <c r="O374" s="1">
        <v>967.807</v>
      </c>
    </row>
    <row r="375" spans="8:8" ht="15.0" customHeight="1">
      <c r="K375" s="2">
        <v>773.0</v>
      </c>
      <c r="L375" s="2">
        <v>917.000000000011</v>
      </c>
      <c r="M375" s="1">
        <v>733179.492</v>
      </c>
      <c r="N375" s="122">
        <v>4018321.775</v>
      </c>
      <c r="O375" s="1">
        <v>967.79</v>
      </c>
    </row>
    <row r="376" spans="8:8" ht="15.0" customHeight="1">
      <c r="K376" s="2">
        <v>774.0</v>
      </c>
      <c r="L376" s="2">
        <v>918.200000000011</v>
      </c>
      <c r="M376" s="1">
        <v>733180.003</v>
      </c>
      <c r="N376" s="122">
        <v>4018322.861</v>
      </c>
      <c r="O376" s="1">
        <v>967.773</v>
      </c>
    </row>
    <row r="377" spans="8:8" ht="15.0" customHeight="1">
      <c r="K377" s="2">
        <v>775.0</v>
      </c>
      <c r="L377" s="2">
        <v>919.400000000011</v>
      </c>
      <c r="M377" s="1">
        <v>733180.514</v>
      </c>
      <c r="N377" s="122">
        <v>4018323.946</v>
      </c>
      <c r="O377" s="1">
        <v>967.756</v>
      </c>
    </row>
    <row r="378" spans="8:8" ht="15.0" customHeight="1">
      <c r="K378" s="2">
        <v>776.0</v>
      </c>
      <c r="L378" s="2">
        <v>920.600000000011</v>
      </c>
      <c r="M378" s="1">
        <v>733181.025</v>
      </c>
      <c r="N378" s="122">
        <v>4018325.032</v>
      </c>
      <c r="O378" s="1">
        <v>967.739</v>
      </c>
    </row>
    <row r="379" spans="8:8" ht="15.0" customHeight="1">
      <c r="K379" s="2">
        <v>777.0</v>
      </c>
      <c r="L379" s="2">
        <v>921.800000000011</v>
      </c>
      <c r="M379" s="1">
        <v>733181.537</v>
      </c>
      <c r="N379" s="122">
        <v>4018326.118</v>
      </c>
      <c r="O379" s="1">
        <v>967.722</v>
      </c>
    </row>
    <row r="380" spans="8:8" ht="15.0" customHeight="1">
      <c r="K380" s="2">
        <v>778.0</v>
      </c>
      <c r="L380" s="2">
        <v>923.000000000011</v>
      </c>
      <c r="M380" s="1">
        <v>733182.048</v>
      </c>
      <c r="N380" s="122">
        <v>4018327.204</v>
      </c>
      <c r="O380" s="1">
        <v>967.706</v>
      </c>
    </row>
    <row r="381" spans="8:8" ht="15.0" customHeight="1">
      <c r="K381" s="2">
        <v>779.0</v>
      </c>
      <c r="L381" s="2">
        <v>924.200000000011</v>
      </c>
      <c r="M381" s="1">
        <v>733182.559</v>
      </c>
      <c r="N381" s="122">
        <v>4018328.289</v>
      </c>
      <c r="O381" s="1">
        <v>967.689</v>
      </c>
    </row>
    <row r="382" spans="8:8" ht="15.0" customHeight="1">
      <c r="K382" s="2">
        <v>780.0</v>
      </c>
      <c r="L382" s="2">
        <v>925.400000000011</v>
      </c>
      <c r="M382" s="1">
        <v>733183.07</v>
      </c>
      <c r="N382" s="122">
        <v>4018329.375</v>
      </c>
      <c r="O382" s="1">
        <v>967.672</v>
      </c>
    </row>
    <row r="383" spans="8:8" ht="15.0" customHeight="1">
      <c r="K383" s="2">
        <v>781.0</v>
      </c>
      <c r="L383" s="2">
        <v>926.600000000011</v>
      </c>
      <c r="M383" s="1">
        <v>733183.581</v>
      </c>
      <c r="N383" s="122">
        <v>4018330.461</v>
      </c>
      <c r="O383" s="1">
        <v>967.655</v>
      </c>
    </row>
    <row r="384" spans="8:8" ht="15.0" customHeight="1">
      <c r="K384" s="2">
        <v>782.0</v>
      </c>
      <c r="L384" s="2">
        <v>927.800000000011</v>
      </c>
      <c r="M384" s="1">
        <v>733184.092</v>
      </c>
      <c r="N384" s="122">
        <v>4018331.546</v>
      </c>
      <c r="O384" s="1">
        <v>967.638</v>
      </c>
    </row>
    <row r="385" spans="8:8" ht="15.0" customHeight="1">
      <c r="K385" s="2">
        <v>783.0</v>
      </c>
      <c r="L385" s="2">
        <v>929.000000000011</v>
      </c>
      <c r="M385" s="1">
        <v>733184.603</v>
      </c>
      <c r="N385" s="122">
        <v>4018332.632</v>
      </c>
      <c r="O385" s="1">
        <v>967.621</v>
      </c>
    </row>
    <row r="386" spans="8:8" ht="15.0" customHeight="1">
      <c r="K386" s="2">
        <v>784.0</v>
      </c>
      <c r="L386" s="2">
        <v>930.200000000011</v>
      </c>
      <c r="M386" s="1">
        <v>733185.115</v>
      </c>
      <c r="N386" s="122">
        <v>4018333.718</v>
      </c>
      <c r="O386" s="1">
        <v>967.604</v>
      </c>
    </row>
    <row r="387" spans="8:8" ht="15.0" customHeight="1">
      <c r="K387" s="2">
        <v>785.0</v>
      </c>
      <c r="L387" s="2">
        <v>931.400000000011</v>
      </c>
      <c r="M387" s="1">
        <v>733185.626</v>
      </c>
      <c r="N387" s="122">
        <v>4018334.803</v>
      </c>
      <c r="O387" s="1">
        <v>967.587</v>
      </c>
    </row>
    <row r="388" spans="8:8" ht="15.0" customHeight="1">
      <c r="K388" s="2">
        <v>786.0</v>
      </c>
      <c r="L388" s="2">
        <v>932.600000000011</v>
      </c>
      <c r="M388" s="1">
        <v>733186.137</v>
      </c>
      <c r="N388" s="122">
        <v>4018335.889</v>
      </c>
      <c r="O388" s="1">
        <v>967.571</v>
      </c>
    </row>
    <row r="389" spans="8:8" ht="15.0" customHeight="1">
      <c r="K389" s="2">
        <v>787.0</v>
      </c>
      <c r="L389" s="2">
        <v>933.800000000011</v>
      </c>
      <c r="M389" s="1">
        <v>733186.648</v>
      </c>
      <c r="N389" s="122">
        <v>4018336.975</v>
      </c>
      <c r="O389" s="1">
        <v>967.554</v>
      </c>
    </row>
    <row r="390" spans="8:8" ht="15.0" customHeight="1">
      <c r="K390" s="2">
        <v>788.0</v>
      </c>
      <c r="L390" s="2">
        <v>935.000000000011</v>
      </c>
      <c r="M390" s="1">
        <v>733187.159</v>
      </c>
      <c r="N390" s="122">
        <v>4018338.06</v>
      </c>
      <c r="O390" s="1">
        <v>967.537</v>
      </c>
    </row>
    <row r="391" spans="8:8" ht="15.0" customHeight="1">
      <c r="K391" s="2">
        <v>789.0</v>
      </c>
      <c r="L391" s="2">
        <v>936.200000000011</v>
      </c>
      <c r="M391" s="1">
        <v>733187.67</v>
      </c>
      <c r="N391" s="122">
        <v>4018339.146</v>
      </c>
      <c r="O391" s="1">
        <v>967.52</v>
      </c>
    </row>
    <row r="392" spans="8:8" ht="15.0" customHeight="1">
      <c r="K392" s="2">
        <v>790.0</v>
      </c>
      <c r="L392" s="2">
        <v>937.400000000012</v>
      </c>
      <c r="M392" s="1">
        <v>733188.181</v>
      </c>
      <c r="N392" s="122">
        <v>4018340.232</v>
      </c>
      <c r="O392" s="1">
        <v>967.503</v>
      </c>
    </row>
    <row r="393" spans="8:8" ht="15.0" customHeight="1">
      <c r="K393" s="2">
        <v>791.0</v>
      </c>
      <c r="L393" s="2">
        <v>938.600000000012</v>
      </c>
      <c r="M393" s="1">
        <v>733188.693</v>
      </c>
      <c r="N393" s="122">
        <v>4018341.318</v>
      </c>
      <c r="O393" s="1">
        <v>967.486</v>
      </c>
    </row>
    <row r="394" spans="8:8" ht="15.0" customHeight="1">
      <c r="K394" s="2">
        <v>792.0</v>
      </c>
      <c r="L394" s="2">
        <v>939.800000000012</v>
      </c>
      <c r="M394" s="1">
        <v>733189.204</v>
      </c>
      <c r="N394" s="122">
        <v>4018342.403</v>
      </c>
      <c r="O394" s="1">
        <v>967.469</v>
      </c>
    </row>
    <row r="395" spans="8:8" ht="15.0" customHeight="1">
      <c r="K395" s="2">
        <v>793.0</v>
      </c>
      <c r="L395" s="2">
        <v>941.000000000012</v>
      </c>
      <c r="M395" s="1">
        <v>733189.715</v>
      </c>
      <c r="N395" s="122">
        <v>4018343.489</v>
      </c>
      <c r="O395" s="1">
        <v>967.452</v>
      </c>
    </row>
    <row r="396" spans="8:8" ht="15.0" customHeight="1">
      <c r="K396" s="2">
        <v>794.0</v>
      </c>
      <c r="L396" s="2">
        <v>942.200000000012</v>
      </c>
      <c r="M396" s="1">
        <v>733190.226</v>
      </c>
      <c r="N396" s="122">
        <v>4018344.575</v>
      </c>
      <c r="O396" s="1">
        <v>967.435</v>
      </c>
    </row>
    <row r="397" spans="8:8" ht="15.0" customHeight="1">
      <c r="K397" s="2">
        <v>795.0</v>
      </c>
      <c r="L397" s="2">
        <v>943.400000000012</v>
      </c>
      <c r="M397" s="1">
        <v>733190.737</v>
      </c>
      <c r="N397" s="122">
        <v>4018345.66</v>
      </c>
      <c r="O397" s="1">
        <v>967.419</v>
      </c>
    </row>
    <row r="398" spans="8:8" ht="15.0" customHeight="1">
      <c r="K398" s="2">
        <v>796.0</v>
      </c>
      <c r="L398" s="2">
        <v>944.600000000012</v>
      </c>
      <c r="M398" s="1">
        <v>733191.248</v>
      </c>
      <c r="N398" s="122">
        <v>4018346.746</v>
      </c>
      <c r="O398" s="1">
        <v>967.402</v>
      </c>
    </row>
    <row r="399" spans="8:8" ht="15.0" customHeight="1">
      <c r="K399" s="2">
        <v>797.0</v>
      </c>
      <c r="L399" s="2">
        <v>945.800000000012</v>
      </c>
      <c r="M399" s="1">
        <v>733191.759</v>
      </c>
      <c r="N399" s="122">
        <v>4018347.832</v>
      </c>
      <c r="O399" s="1">
        <v>967.385</v>
      </c>
    </row>
    <row r="400" spans="8:8" ht="15.0" customHeight="1">
      <c r="K400" s="2">
        <v>798.0</v>
      </c>
      <c r="L400" s="2">
        <v>947.000000000012</v>
      </c>
      <c r="M400" s="1">
        <v>733192.27</v>
      </c>
      <c r="N400" s="122">
        <v>4018348.917</v>
      </c>
      <c r="O400" s="1">
        <v>967.368</v>
      </c>
    </row>
    <row r="401" spans="8:8" ht="15.0" customHeight="1">
      <c r="K401" s="2">
        <v>799.0</v>
      </c>
      <c r="L401" s="2">
        <v>948.200000000012</v>
      </c>
      <c r="M401" s="1">
        <v>733192.782</v>
      </c>
      <c r="N401" s="122">
        <v>4018350.003</v>
      </c>
      <c r="O401" s="1">
        <v>967.351</v>
      </c>
    </row>
    <row r="402" spans="8:8" ht="15.0" customHeight="1">
      <c r="K402" s="2">
        <v>800.0</v>
      </c>
      <c r="L402" s="2">
        <v>949.400000000012</v>
      </c>
      <c r="M402" s="1">
        <v>733193.293</v>
      </c>
      <c r="N402" s="122">
        <v>4018351.089</v>
      </c>
      <c r="O402" s="1">
        <v>967.334</v>
      </c>
    </row>
    <row r="403" spans="8:8" ht="15.0" customHeight="1">
      <c r="K403" s="2">
        <v>801.0</v>
      </c>
      <c r="L403" s="2">
        <v>950.600000000012</v>
      </c>
      <c r="M403" s="1">
        <v>733193.804</v>
      </c>
      <c r="N403" s="122">
        <v>4018352.175</v>
      </c>
      <c r="O403" s="1">
        <v>967.317</v>
      </c>
    </row>
    <row r="404" spans="8:8" ht="15.0" customHeight="1">
      <c r="K404" s="2">
        <v>802.0</v>
      </c>
      <c r="L404" s="2">
        <v>951.800000000012</v>
      </c>
      <c r="M404" s="1">
        <v>733194.315</v>
      </c>
      <c r="N404" s="122">
        <v>4018353.26</v>
      </c>
      <c r="O404" s="1">
        <v>967.3</v>
      </c>
    </row>
    <row r="405" spans="8:8" ht="15.0" customHeight="1">
      <c r="K405" s="2">
        <v>803.0</v>
      </c>
      <c r="L405" s="2">
        <v>953.000000000012</v>
      </c>
      <c r="M405" s="1">
        <v>733194.826</v>
      </c>
      <c r="N405" s="122">
        <v>4018354.346</v>
      </c>
      <c r="O405" s="1">
        <v>967.284</v>
      </c>
    </row>
    <row r="406" spans="8:8" ht="15.0" customHeight="1">
      <c r="K406" s="2">
        <v>804.0</v>
      </c>
      <c r="L406" s="2">
        <v>954.200000000012</v>
      </c>
      <c r="M406" s="1">
        <v>733195.337</v>
      </c>
      <c r="N406" s="122">
        <v>4018355.432</v>
      </c>
      <c r="O406" s="1">
        <v>967.267</v>
      </c>
    </row>
    <row r="407" spans="8:8" ht="15.0" customHeight="1">
      <c r="K407" s="2">
        <v>805.0</v>
      </c>
      <c r="L407" s="2">
        <v>955.400000000012</v>
      </c>
      <c r="M407" s="1">
        <v>733195.848</v>
      </c>
      <c r="N407" s="122">
        <v>4018356.517</v>
      </c>
      <c r="O407" s="1">
        <v>967.25</v>
      </c>
    </row>
    <row r="408" spans="8:8" ht="15.0" customHeight="1">
      <c r="K408" s="2">
        <v>806.0</v>
      </c>
      <c r="L408" s="2">
        <v>956.600000000012</v>
      </c>
      <c r="M408" s="1">
        <v>733196.36</v>
      </c>
      <c r="N408" s="122">
        <v>4018357.603</v>
      </c>
      <c r="O408" s="1">
        <v>967.233</v>
      </c>
    </row>
    <row r="409" spans="8:8" ht="15.0" customHeight="1">
      <c r="K409" s="2">
        <v>807.0</v>
      </c>
      <c r="L409" s="2">
        <v>957.800000000012</v>
      </c>
      <c r="M409" s="1">
        <v>733196.871</v>
      </c>
      <c r="N409" s="122">
        <v>4018358.689</v>
      </c>
      <c r="O409" s="1">
        <v>967.216</v>
      </c>
    </row>
    <row r="410" spans="8:8" ht="15.0" customHeight="1">
      <c r="K410" s="2">
        <v>808.0</v>
      </c>
      <c r="L410" s="2">
        <v>959.000000000012</v>
      </c>
      <c r="M410" s="1">
        <v>733197.382</v>
      </c>
      <c r="N410" s="122">
        <v>4018359.774</v>
      </c>
      <c r="O410" s="1">
        <v>967.199</v>
      </c>
    </row>
    <row r="411" spans="8:8" ht="15.0" customHeight="1">
      <c r="K411" s="2">
        <v>809.0</v>
      </c>
      <c r="L411" s="2">
        <v>960.200000000012</v>
      </c>
      <c r="M411" s="1">
        <v>733197.893</v>
      </c>
      <c r="N411" s="122">
        <v>4018360.86</v>
      </c>
      <c r="O411" s="1">
        <v>967.182</v>
      </c>
    </row>
    <row r="412" spans="8:8" ht="15.0" customHeight="1">
      <c r="K412" s="2">
        <v>810.0</v>
      </c>
      <c r="L412" s="2">
        <v>961.400000000012</v>
      </c>
      <c r="M412" s="1">
        <v>733198.404</v>
      </c>
      <c r="N412" s="122">
        <v>4018361.946</v>
      </c>
      <c r="O412" s="1">
        <v>967.165</v>
      </c>
    </row>
    <row r="413" spans="8:8" ht="15.0" customHeight="1">
      <c r="K413" s="2">
        <v>811.0</v>
      </c>
      <c r="L413" s="2">
        <v>962.600000000012</v>
      </c>
      <c r="M413" s="1">
        <v>733198.915</v>
      </c>
      <c r="N413" s="122">
        <v>4018363.032</v>
      </c>
      <c r="O413" s="1">
        <v>967.149</v>
      </c>
    </row>
    <row r="414" spans="8:8" ht="15.0" customHeight="1">
      <c r="K414" s="2">
        <v>5000.0</v>
      </c>
      <c r="L414" s="2">
        <v>1200.0</v>
      </c>
    </row>
    <row r="415" spans="8:8" ht="15.0" customHeight="1"/>
    <row r="416" spans="8:8" ht="15.0" customHeight="1"/>
    <row r="417" spans="8:8" ht="15.0" customHeight="1"/>
    <row r="418" spans="8:8" ht="15.0" customHeight="1"/>
    <row r="419" spans="8:8" ht="15.0" customHeight="1"/>
    <row r="420" spans="8:8" ht="15.0" customHeight="1"/>
    <row r="421" spans="8:8" ht="15.0" customHeight="1"/>
    <row r="422" spans="8:8" ht="15.0" customHeight="1"/>
    <row r="423" spans="8:8" ht="15.0" customHeight="1"/>
    <row r="424" spans="8:8" ht="15.0" customHeight="1"/>
    <row r="425" spans="8:8" ht="15.0" customHeight="1"/>
    <row r="426" spans="8:8" ht="15.0" customHeight="1"/>
    <row r="427" spans="8:8" ht="15.0" customHeight="1"/>
    <row r="428" spans="8:8" ht="15.0" customHeight="1"/>
    <row r="429" spans="8:8" ht="15.0" customHeight="1"/>
    <row r="430" spans="8:8" ht="15.0" customHeight="1"/>
    <row r="431" spans="8:8" ht="15.0" customHeight="1"/>
    <row r="432" spans="8:8" ht="15.0" customHeight="1"/>
    <row r="433" spans="8:8" ht="15.0" customHeight="1"/>
    <row r="434" spans="8:8" ht="15.0" customHeight="1"/>
    <row r="435" spans="8:8" ht="15.0" customHeight="1"/>
    <row r="436" spans="8:8" ht="15.0" customHeight="1"/>
    <row r="437" spans="8:8" ht="15.0" customHeight="1"/>
    <row r="438" spans="8:8" ht="15.0" customHeight="1"/>
    <row r="439" spans="8:8" ht="15.0" customHeight="1"/>
    <row r="440" spans="8:8" ht="15.0" customHeight="1"/>
    <row r="441" spans="8:8" ht="15.0" customHeight="1"/>
    <row r="442" spans="8:8" ht="15.0" customHeight="1"/>
    <row r="443" spans="8:8" ht="15.0" customHeight="1"/>
    <row r="444" spans="8:8" ht="15.0" customHeight="1"/>
    <row r="445" spans="8:8" ht="15.0" customHeight="1"/>
    <row r="446" spans="8:8" ht="15.0" customHeight="1"/>
    <row r="447" spans="8:8" ht="15.0" customHeight="1"/>
    <row r="448" spans="8:8" ht="15.0" customHeight="1"/>
    <row r="449" spans="8:8" ht="15.0" customHeight="1"/>
    <row r="450" spans="8:8" ht="15.0" customHeight="1"/>
    <row r="451" spans="8:8" ht="15.0" customHeight="1"/>
    <row r="452" spans="8:8" ht="15.0" customHeight="1"/>
    <row r="453" spans="8:8" ht="15.0" customHeight="1"/>
    <row r="454" spans="8:8" ht="15.0" customHeight="1"/>
    <row r="455" spans="8:8" ht="15.0" customHeight="1"/>
    <row r="456" spans="8:8" ht="15.0" customHeight="1"/>
    <row r="457" spans="8:8" ht="15.0" customHeight="1"/>
    <row r="458" spans="8:8" ht="15.0" customHeight="1"/>
    <row r="459" spans="8:8" ht="15.0" customHeight="1"/>
    <row r="460" spans="8:8" ht="15.0" customHeight="1"/>
    <row r="461" spans="8:8" ht="15.0" customHeight="1"/>
    <row r="462" spans="8:8" ht="15.0" customHeight="1"/>
    <row r="463" spans="8:8" ht="15.0" customHeight="1"/>
    <row r="464" spans="8:8" ht="15.0" customHeight="1"/>
    <row r="465" spans="8:8" ht="15.0" customHeight="1"/>
    <row r="466" spans="8:8" ht="15.0" customHeight="1"/>
    <row r="467" spans="8:8" ht="15.0" customHeight="1"/>
    <row r="468" spans="8:8" ht="15.0" customHeight="1"/>
    <row r="469" spans="8:8" ht="15.0" customHeight="1"/>
    <row r="470" spans="8:8" ht="15.0" customHeight="1"/>
    <row r="471" spans="8:8" ht="15.0" customHeight="1"/>
    <row r="472" spans="8:8" ht="15.0" customHeight="1"/>
    <row r="473" spans="8:8" ht="15.0" customHeight="1"/>
    <row r="474" spans="8:8" ht="15.0" customHeight="1"/>
    <row r="475" spans="8:8" ht="15.0" customHeight="1"/>
    <row r="476" spans="8:8" ht="15.0" customHeight="1"/>
    <row r="477" spans="8:8" ht="15.0" customHeight="1"/>
    <row r="478" spans="8:8" ht="15.0" customHeight="1"/>
    <row r="479" spans="8:8" ht="15.0" customHeight="1"/>
    <row r="480" spans="8:8" ht="15.0" customHeight="1"/>
    <row r="481" spans="8:8" ht="15.0" customHeight="1"/>
    <row r="482" spans="8:8" ht="15.0" customHeight="1"/>
    <row r="483" spans="8:8" ht="15.0" customHeight="1"/>
    <row r="484" spans="8:8" ht="15.0" customHeight="1"/>
    <row r="485" spans="8:8" ht="15.0" customHeight="1"/>
    <row r="486" spans="8:8" ht="15.0" customHeight="1"/>
    <row r="487" spans="8:8" ht="15.0" customHeight="1"/>
    <row r="488" spans="8:8" ht="15.0" customHeight="1"/>
    <row r="489" spans="8:8" ht="15.0" customHeight="1"/>
    <row r="490" spans="8:8" ht="15.0" customHeight="1"/>
    <row r="491" spans="8:8" ht="15.0" customHeight="1"/>
    <row r="492" spans="8:8" ht="15.0" customHeight="1"/>
    <row r="493" spans="8:8" ht="15.0" customHeight="1"/>
    <row r="494" spans="8:8" ht="15.0" customHeight="1"/>
    <row r="495" spans="8:8" ht="15.0" customHeight="1"/>
    <row r="496" spans="8:8" ht="15.0" customHeight="1"/>
    <row r="497" spans="8:8" ht="15.0" customHeight="1"/>
    <row r="498" spans="8:8" ht="15.0" customHeight="1"/>
    <row r="499" spans="8:8" ht="15.0" customHeight="1"/>
    <row r="500" spans="8:8" ht="15.0" customHeight="1"/>
    <row r="501" spans="8:8" ht="15.0" customHeight="1"/>
    <row r="502" spans="8:8" ht="15.0" customHeight="1"/>
    <row r="503" spans="8:8" ht="15.0" customHeight="1"/>
    <row r="504" spans="8:8" ht="15.0" customHeight="1"/>
    <row r="505" spans="8:8" ht="15.0" customHeight="1"/>
    <row r="506" spans="8:8" ht="15.0" customHeight="1"/>
    <row r="507" spans="8:8" ht="15.0" customHeight="1"/>
    <row r="508" spans="8:8" ht="15.0" customHeight="1"/>
    <row r="509" spans="8:8" ht="15.0" customHeight="1"/>
    <row r="510" spans="8:8" ht="15.0" customHeight="1"/>
    <row r="511" spans="8:8" ht="15.0" customHeight="1"/>
    <row r="512" spans="8:8" ht="15.0" customHeight="1"/>
    <row r="513" spans="8:8" ht="15.0" customHeight="1"/>
    <row r="514" spans="8:8" ht="15.0" customHeight="1"/>
    <row r="515" spans="8:8" ht="15.0" customHeight="1"/>
    <row r="516" spans="8:8" ht="15.0" customHeight="1"/>
    <row r="517" spans="8:8" ht="15.0" customHeight="1"/>
    <row r="518" spans="8:8" ht="15.0" customHeight="1"/>
    <row r="519" spans="8:8" ht="15.0" customHeight="1"/>
    <row r="520" spans="8:8" ht="15.0" customHeight="1"/>
    <row r="521" spans="8:8" ht="15.0" customHeight="1"/>
    <row r="522" spans="8:8" ht="15.0" customHeight="1"/>
    <row r="523" spans="8:8" ht="15.0" customHeight="1"/>
    <row r="524" spans="8:8" ht="15.0" customHeight="1"/>
    <row r="525" spans="8:8" ht="15.0" customHeight="1"/>
    <row r="526" spans="8:8" ht="15.0" customHeight="1"/>
    <row r="527" spans="8:8" ht="15.0" customHeight="1"/>
    <row r="528" spans="8:8" ht="15.0" customHeight="1"/>
    <row r="529" spans="8:8" ht="15.0" customHeight="1"/>
    <row r="530" spans="8:8" ht="15.0" customHeight="1"/>
    <row r="531" spans="8:8" ht="15.0" customHeight="1"/>
    <row r="532" spans="8:8" ht="15.0" customHeight="1"/>
    <row r="533" spans="8:8" ht="15.0" customHeight="1"/>
    <row r="534" spans="8:8" ht="15.0" customHeight="1"/>
    <row r="535" spans="8:8" ht="15.0" customHeight="1"/>
    <row r="536" spans="8:8" ht="15.0" customHeight="1"/>
    <row r="537" spans="8:8" ht="15.0" customHeight="1"/>
    <row r="538" spans="8:8" ht="15.0" customHeight="1"/>
    <row r="539" spans="8:8" ht="15.0" customHeight="1"/>
    <row r="540" spans="8:8" ht="15.0" customHeight="1"/>
    <row r="541" spans="8:8" ht="15.0" customHeight="1"/>
    <row r="542" spans="8:8" ht="15.0" customHeight="1"/>
    <row r="543" spans="8:8" ht="15.0" customHeight="1"/>
    <row r="544" spans="8:8" ht="15.0" customHeight="1"/>
    <row r="545" spans="8:8" ht="15.0" customHeight="1"/>
    <row r="546" spans="8:8" ht="15.0" customHeight="1"/>
    <row r="547" spans="8:8" ht="15.0" customHeight="1"/>
    <row r="548" spans="8:8" ht="15.0" customHeight="1"/>
    <row r="549" spans="8:8" ht="15.0" customHeight="1"/>
    <row r="550" spans="8:8" ht="15.0" customHeight="1"/>
    <row r="551" spans="8:8" ht="15.0" customHeight="1"/>
    <row r="552" spans="8:8" ht="15.0" customHeight="1"/>
    <row r="553" spans="8:8" ht="15.0" customHeight="1"/>
    <row r="554" spans="8:8" ht="15.0" customHeight="1"/>
    <row r="555" spans="8:8" ht="15.0" customHeight="1"/>
    <row r="556" spans="8:8" ht="15.0" customHeight="1"/>
    <row r="557" spans="8:8" ht="15.0" customHeight="1"/>
    <row r="558" spans="8:8" ht="15.0" customHeight="1"/>
    <row r="559" spans="8:8" ht="15.0" customHeight="1"/>
    <row r="560" spans="8:8" ht="15.0" customHeight="1"/>
    <row r="561" spans="8:8" ht="15.0" customHeight="1"/>
    <row r="562" spans="8:8" ht="15.0" customHeight="1"/>
    <row r="563" spans="8:8" ht="15.0" customHeight="1"/>
    <row r="564" spans="8:8" ht="15.0" customHeight="1"/>
    <row r="565" spans="8:8" ht="15.0" customHeight="1"/>
    <row r="566" spans="8:8" ht="15.0" customHeight="1"/>
    <row r="567" spans="8:8" ht="15.0" customHeight="1"/>
    <row r="568" spans="8:8" ht="15.0" customHeight="1"/>
    <row r="569" spans="8:8" ht="15.0" customHeight="1"/>
    <row r="570" spans="8:8" ht="15.0" customHeight="1"/>
    <row r="571" spans="8:8" ht="15.0" customHeight="1"/>
    <row r="572" spans="8:8" ht="15.0" customHeight="1"/>
    <row r="573" spans="8:8" ht="15.0" customHeight="1"/>
    <row r="574" spans="8:8" ht="15.0" customHeight="1"/>
    <row r="575" spans="8:8" ht="15.0" customHeight="1"/>
    <row r="576" spans="8:8" ht="15.0" customHeight="1"/>
    <row r="577" spans="8:8" ht="15.0" customHeight="1"/>
    <row r="578" spans="8:8" ht="15.0" customHeight="1"/>
    <row r="579" spans="8:8" ht="15.0" customHeight="1"/>
    <row r="580" spans="8:8" ht="15.0" customHeight="1"/>
    <row r="581" spans="8:8" ht="15.0" customHeight="1"/>
    <row r="582" spans="8:8" ht="15.0" customHeight="1"/>
    <row r="583" spans="8:8" ht="15.0" customHeight="1"/>
    <row r="584" spans="8:8" ht="15.0" customHeight="1"/>
    <row r="585" spans="8:8" ht="15.0" customHeight="1"/>
    <row r="586" spans="8:8" ht="15.0" customHeight="1"/>
    <row r="587" spans="8:8" ht="15.0" customHeight="1"/>
    <row r="588" spans="8:8" ht="15.0" customHeight="1"/>
    <row r="589" spans="8:8" ht="15.0" customHeight="1"/>
    <row r="590" spans="8:8" ht="15.0" customHeight="1"/>
    <row r="591" spans="8:8" ht="15.0" customHeight="1"/>
    <row r="592" spans="8:8" ht="15.0" customHeight="1"/>
    <row r="593" spans="8:8" ht="15.0" customHeight="1"/>
    <row r="594" spans="8:8" ht="15.0" customHeight="1"/>
    <row r="595" spans="8:8" ht="15.0" customHeight="1"/>
    <row r="596" spans="8:8" ht="15.0" customHeight="1"/>
    <row r="597" spans="8:8" ht="15.0" customHeight="1"/>
    <row r="598" spans="8:8" ht="15.0" customHeight="1"/>
    <row r="599" spans="8:8" ht="15.0" customHeight="1"/>
    <row r="600" spans="8:8" ht="15.0" customHeight="1"/>
    <row r="601" spans="8:8" ht="15.0" customHeight="1"/>
    <row r="602" spans="8:8" ht="15.0" customHeight="1"/>
    <row r="603" spans="8:8" ht="15.0" customHeight="1"/>
    <row r="604" spans="8:8" ht="15.0" customHeight="1"/>
    <row r="605" spans="8:8" ht="15.0" customHeight="1"/>
    <row r="606" spans="8:8" ht="15.0" customHeight="1"/>
    <row r="607" spans="8:8" ht="15.0" customHeight="1"/>
    <row r="608" spans="8:8" ht="15.0" customHeight="1"/>
    <row r="609" spans="8:8" ht="15.0" customHeight="1"/>
    <row r="610" spans="8:8" ht="15.0" customHeight="1"/>
    <row r="611" spans="8:8" ht="15.0" customHeight="1"/>
    <row r="612" spans="8:8" ht="15.0" customHeight="1"/>
    <row r="613" spans="8:8" ht="15.0" customHeight="1"/>
    <row r="614" spans="8:8" ht="15.0" customHeight="1"/>
    <row r="615" spans="8:8" ht="15.0" customHeight="1"/>
    <row r="616" spans="8:8" ht="15.0" customHeight="1"/>
    <row r="617" spans="8:8" ht="15.0" customHeight="1"/>
    <row r="618" spans="8:8" ht="15.0" customHeight="1"/>
    <row r="619" spans="8:8" ht="15.0" customHeight="1"/>
    <row r="620" spans="8:8" ht="15.0" customHeight="1"/>
    <row r="621" spans="8:8" ht="15.0" customHeight="1"/>
    <row r="622" spans="8:8" ht="15.0" customHeight="1"/>
    <row r="623" spans="8:8" ht="15.0" customHeight="1"/>
    <row r="624" spans="8:8" ht="15.0" customHeight="1"/>
    <row r="625" spans="8:8" ht="15.0" customHeight="1"/>
    <row r="626" spans="8:8" ht="15.0" customHeight="1"/>
    <row r="627" spans="8:8" ht="15.0" customHeight="1"/>
    <row r="628" spans="8:8" ht="15.0" customHeight="1"/>
    <row r="629" spans="8:8" ht="15.0" customHeight="1"/>
    <row r="630" spans="8:8" ht="15.0" customHeight="1"/>
    <row r="631" spans="8:8" ht="15.0" customHeight="1"/>
    <row r="632" spans="8:8" ht="15.0" customHeight="1"/>
    <row r="633" spans="8:8" ht="15.0" customHeight="1"/>
    <row r="634" spans="8:8" ht="15.0" customHeight="1"/>
    <row r="635" spans="8:8" ht="15.0" customHeight="1"/>
    <row r="636" spans="8:8" ht="15.0" customHeight="1"/>
    <row r="637" spans="8:8" ht="15.0" customHeight="1"/>
    <row r="638" spans="8:8" ht="15.0" customHeight="1"/>
    <row r="639" spans="8:8" ht="15.0" customHeight="1"/>
    <row r="640" spans="8:8" ht="15.0" customHeight="1"/>
    <row r="641" spans="8:8" ht="15.0" customHeight="1"/>
    <row r="642" spans="8:8" ht="15.0" customHeight="1"/>
    <row r="643" spans="8:8" ht="15.0" customHeight="1"/>
    <row r="644" spans="8:8" ht="15.0" customHeight="1"/>
    <row r="645" spans="8:8" ht="15.0" customHeight="1"/>
    <row r="646" spans="8:8" ht="15.0" customHeight="1"/>
    <row r="647" spans="8:8" ht="15.0" customHeight="1"/>
    <row r="648" spans="8:8" ht="15.0" customHeight="1"/>
    <row r="649" spans="8:8" ht="15.0" customHeight="1"/>
    <row r="650" spans="8:8" ht="15.0" customHeight="1"/>
    <row r="651" spans="8:8" ht="15.0" customHeight="1"/>
    <row r="652" spans="8:8" ht="15.0" customHeight="1"/>
    <row r="653" spans="8:8" ht="15.0" customHeight="1"/>
    <row r="654" spans="8:8" ht="15.0" customHeight="1"/>
    <row r="655" spans="8:8" ht="15.0" customHeight="1"/>
    <row r="656" spans="8:8" ht="15.0" customHeight="1"/>
    <row r="657" spans="8:8" ht="15.0" customHeight="1"/>
    <row r="658" spans="8:8" ht="15.0" customHeight="1"/>
    <row r="659" spans="8:8" ht="15.0" customHeight="1"/>
    <row r="660" spans="8:8" ht="15.0" customHeight="1"/>
    <row r="661" spans="8:8" ht="15.0" customHeight="1"/>
    <row r="662" spans="8:8" ht="15.0" customHeight="1"/>
    <row r="663" spans="8:8" ht="15.0" customHeight="1"/>
    <row r="664" spans="8:8" ht="15.0" customHeight="1"/>
    <row r="665" spans="8:8" ht="15.0" customHeight="1"/>
    <row r="666" spans="8:8" ht="15.0" customHeight="1"/>
    <row r="667" spans="8:8" ht="15.0" customHeight="1"/>
    <row r="668" spans="8:8" ht="15.0" customHeight="1"/>
    <row r="669" spans="8:8" ht="15.0" customHeight="1"/>
    <row r="670" spans="8:8" ht="15.0" customHeight="1"/>
    <row r="671" spans="8:8" ht="15.0" customHeight="1"/>
    <row r="672" spans="8:8" ht="15.0" customHeight="1"/>
    <row r="673" spans="8:8" ht="15.0" customHeight="1"/>
    <row r="674" spans="8:8" ht="15.0" customHeight="1"/>
    <row r="675" spans="8:8" ht="15.0" customHeight="1"/>
    <row r="676" spans="8:8" ht="15.0" customHeight="1"/>
    <row r="677" spans="8:8" ht="15.0" customHeight="1"/>
    <row r="678" spans="8:8" ht="15.0" customHeight="1"/>
    <row r="679" spans="8:8" ht="15.0" customHeight="1"/>
    <row r="680" spans="8:8" ht="15.0" customHeight="1"/>
    <row r="681" spans="8:8" ht="15.0" customHeight="1"/>
    <row r="682" spans="8:8" ht="15.0" customHeight="1"/>
    <row r="683" spans="8:8" ht="15.0" customHeight="1"/>
    <row r="684" spans="8:8" ht="15.0" customHeight="1"/>
    <row r="685" spans="8:8" ht="15.0" customHeight="1"/>
    <row r="686" spans="8:8" ht="15.0" customHeight="1"/>
    <row r="687" spans="8:8" ht="15.0" customHeight="1"/>
    <row r="688" spans="8:8" ht="15.0" customHeight="1"/>
    <row r="689" spans="8:8" ht="15.0" customHeight="1"/>
    <row r="690" spans="8:8" ht="15.0" customHeight="1"/>
    <row r="691" spans="8:8" ht="15.0" customHeight="1"/>
    <row r="692" spans="8:8" ht="15.0" customHeight="1"/>
    <row r="693" spans="8:8" ht="15.0" customHeight="1"/>
    <row r="694" spans="8:8" ht="15.0" customHeight="1"/>
    <row r="695" spans="8:8" ht="15.0" customHeight="1"/>
    <row r="696" spans="8:8" ht="15.0" customHeight="1"/>
    <row r="697" spans="8:8" ht="15.0" customHeight="1"/>
    <row r="698" spans="8:8" ht="15.0" customHeight="1"/>
    <row r="699" spans="8:8" ht="15.0" customHeight="1"/>
    <row r="700" spans="8:8" ht="15.0" customHeight="1"/>
    <row r="701" spans="8:8" ht="15.0" customHeight="1"/>
    <row r="702" spans="8:8" ht="15.0" customHeight="1"/>
    <row r="703" spans="8:8" ht="15.0" customHeight="1"/>
    <row r="704" spans="8:8" ht="15.0" customHeight="1"/>
    <row r="705" spans="8:8" ht="15.0" customHeight="1"/>
    <row r="706" spans="8:8" ht="15.0" customHeight="1"/>
    <row r="707" spans="8:8" ht="15.0" customHeight="1"/>
    <row r="708" spans="8:8" ht="15.0" customHeight="1"/>
    <row r="709" spans="8:8" ht="15.0" customHeight="1"/>
    <row r="710" spans="8:8" ht="15.0" customHeight="1"/>
    <row r="711" spans="8:8" ht="15.0" customHeight="1"/>
    <row r="712" spans="8:8" ht="15.0" customHeight="1"/>
    <row r="713" spans="8:8" ht="15.0" customHeight="1"/>
    <row r="714" spans="8:8" ht="15.0" customHeight="1"/>
    <row r="715" spans="8:8" ht="15.0" customHeight="1"/>
    <row r="716" spans="8:8" ht="15.0" customHeight="1"/>
    <row r="717" spans="8:8" ht="15.0" customHeight="1"/>
    <row r="718" spans="8:8" ht="15.0" customHeight="1"/>
    <row r="719" spans="8:8" ht="15.0" customHeight="1"/>
    <row r="720" spans="8:8" ht="15.0" customHeight="1"/>
    <row r="721" spans="8:8" ht="15.0" customHeight="1"/>
    <row r="722" spans="8:8" ht="15.0" customHeight="1"/>
    <row r="723" spans="8:8" ht="15.0" customHeight="1"/>
    <row r="724" spans="8:8" ht="15.0" customHeight="1"/>
    <row r="725" spans="8:8" ht="15.0" customHeight="1"/>
    <row r="726" spans="8:8" ht="15.0" customHeight="1"/>
    <row r="727" spans="8:8" ht="15.0" customHeight="1"/>
    <row r="728" spans="8:8" ht="15.0" customHeight="1"/>
    <row r="729" spans="8:8" ht="15.0" customHeight="1"/>
    <row r="730" spans="8:8" ht="15.0" customHeight="1"/>
    <row r="731" spans="8:8" ht="15.0" customHeight="1"/>
    <row r="732" spans="8:8" ht="15.0" customHeight="1"/>
    <row r="733" spans="8:8" ht="15.0" customHeight="1"/>
    <row r="734" spans="8:8" ht="15.0" customHeight="1"/>
    <row r="735" spans="8:8" ht="15.0" customHeight="1"/>
    <row r="736" spans="8:8" ht="15.0" customHeight="1"/>
    <row r="737" spans="8:8" ht="15.0" customHeight="1"/>
    <row r="738" spans="8:8" ht="15.0" customHeight="1"/>
    <row r="739" spans="8:8" ht="15.0" customHeight="1"/>
    <row r="740" spans="8:8" ht="15.0" customHeight="1"/>
    <row r="741" spans="8:8" ht="15.0" customHeight="1"/>
    <row r="742" spans="8:8" ht="15.0" customHeight="1"/>
    <row r="743" spans="8:8" ht="15.0" customHeight="1"/>
    <row r="744" spans="8:8" ht="15.0" customHeight="1"/>
    <row r="745" spans="8:8" ht="15.0" customHeight="1"/>
    <row r="746" spans="8:8" ht="15.0" customHeight="1"/>
    <row r="747" spans="8:8" ht="15.0" customHeight="1"/>
    <row r="748" spans="8:8" ht="15.0" customHeight="1"/>
    <row r="749" spans="8:8" ht="15.0" customHeight="1"/>
    <row r="750" spans="8:8" ht="15.0" customHeight="1"/>
    <row r="751" spans="8:8" ht="15.0" customHeight="1"/>
    <row r="752" spans="8:8" ht="15.0" customHeight="1"/>
    <row r="753" spans="8:8" ht="15.0" customHeight="1"/>
    <row r="754" spans="8:8" ht="15.0" customHeight="1"/>
    <row r="755" spans="8:8" ht="15.0" customHeight="1"/>
    <row r="756" spans="8:8" ht="15.0" customHeight="1"/>
    <row r="757" spans="8:8" ht="15.0" customHeight="1"/>
    <row r="758" spans="8:8" ht="15.0" customHeight="1"/>
    <row r="759" spans="8:8" ht="15.0" customHeight="1"/>
    <row r="760" spans="8:8" ht="15.0" customHeight="1"/>
    <row r="761" spans="8:8" ht="15.0" customHeight="1"/>
    <row r="762" spans="8:8" ht="15.0" customHeight="1"/>
    <row r="763" spans="8:8" ht="15.0" customHeight="1"/>
    <row r="764" spans="8:8" ht="15.0" customHeight="1"/>
    <row r="765" spans="8:8" ht="15.0" customHeight="1"/>
    <row r="766" spans="8:8" ht="15.0" customHeight="1"/>
    <row r="767" spans="8:8" ht="15.0" customHeight="1"/>
    <row r="768" spans="8:8" ht="15.0" customHeight="1"/>
    <row r="769" spans="8:8" ht="15.0" customHeight="1"/>
    <row r="770" spans="8:8" ht="15.0" customHeight="1"/>
    <row r="771" spans="8:8" ht="15.0" customHeight="1"/>
    <row r="772" spans="8:8" ht="15.0" customHeight="1"/>
    <row r="773" spans="8:8" ht="15.0" customHeight="1"/>
    <row r="774" spans="8:8" ht="15.0" customHeight="1"/>
    <row r="775" spans="8:8" ht="15.0" customHeight="1"/>
    <row r="776" spans="8:8" ht="15.0" customHeight="1"/>
    <row r="777" spans="8:8" ht="15.0" customHeight="1"/>
    <row r="778" spans="8:8" ht="15.0" customHeight="1"/>
    <row r="779" spans="8:8" ht="15.0" customHeight="1"/>
    <row r="780" spans="8:8" ht="15.0" customHeight="1"/>
    <row r="781" spans="8:8" ht="15.0" customHeight="1"/>
    <row r="782" spans="8:8" ht="15.0" customHeight="1"/>
    <row r="783" spans="8:8" ht="15.0" customHeight="1"/>
    <row r="784" spans="8:8" ht="15.0" customHeight="1"/>
    <row r="785" spans="8:8" ht="15.0" customHeight="1"/>
    <row r="786" spans="8:8" ht="15.0" customHeight="1"/>
    <row r="787" spans="8:8" ht="15.0" customHeight="1"/>
    <row r="788" spans="8:8" ht="15.0" customHeight="1"/>
    <row r="789" spans="8:8" ht="15.0" customHeight="1"/>
    <row r="790" spans="8:8" ht="15.0" customHeight="1"/>
    <row r="791" spans="8:8" ht="15.0" customHeight="1"/>
    <row r="792" spans="8:8" ht="15.0" customHeight="1"/>
    <row r="793" spans="8:8" ht="15.0" customHeight="1"/>
    <row r="794" spans="8:8" ht="15.0" customHeight="1"/>
    <row r="795" spans="8:8" ht="15.0" customHeight="1"/>
    <row r="796" spans="8:8" ht="15.0" customHeight="1"/>
    <row r="797" spans="8:8" ht="15.0" customHeight="1"/>
    <row r="798" spans="8:8" ht="15.0" customHeight="1"/>
    <row r="799" spans="8:8" ht="15.0" customHeight="1"/>
    <row r="800" spans="8:8" ht="15.0" customHeight="1"/>
    <row r="801" spans="8:8" ht="15.0" customHeight="1"/>
    <row r="802" spans="8:8" ht="15.0" customHeight="1"/>
    <row r="803" spans="8:8" ht="15.0" customHeight="1"/>
    <row r="804" spans="8:8" ht="15.0" customHeight="1"/>
    <row r="805" spans="8:8" ht="15.0" customHeight="1"/>
    <row r="806" spans="8:8" ht="15.0" customHeight="1"/>
    <row r="807" spans="8:8" ht="15.0" customHeight="1"/>
    <row r="808" spans="8:8" ht="15.0" customHeight="1"/>
    <row r="809" spans="8:8" ht="15.0" customHeight="1"/>
    <row r="810" spans="8:8" ht="15.0" customHeight="1"/>
    <row r="811" spans="8:8" ht="15.0" customHeight="1"/>
    <row r="812" spans="8:8" ht="15.0" customHeight="1"/>
    <row r="813" spans="8:8" ht="15.0" customHeight="1"/>
    <row r="814" spans="8:8" ht="15.0" customHeight="1"/>
    <row r="815" spans="8:8" ht="15.0" customHeight="1"/>
    <row r="816" spans="8:8" ht="15.0" customHeight="1"/>
    <row r="817" spans="8:8" ht="15.0" customHeight="1"/>
    <row r="818" spans="8:8" ht="15.0" customHeight="1"/>
    <row r="819" spans="8:8" ht="15.0" customHeight="1"/>
    <row r="820" spans="8:8" ht="15.0" customHeight="1"/>
    <row r="821" spans="8:8" ht="15.0" customHeight="1"/>
    <row r="822" spans="8:8" ht="15.0" customHeight="1"/>
    <row r="823" spans="8:8" ht="15.0" customHeight="1"/>
    <row r="824" spans="8:8" ht="15.0" customHeight="1"/>
    <row r="825" spans="8:8" ht="15.0" customHeight="1"/>
    <row r="826" spans="8:8" ht="15.0" customHeight="1"/>
    <row r="827" spans="8:8" ht="15.0" customHeight="1"/>
    <row r="828" spans="8:8" ht="15.0" customHeight="1"/>
    <row r="829" spans="8:8" ht="15.0" customHeight="1"/>
    <row r="830" spans="8:8" ht="15.0" customHeight="1"/>
    <row r="831" spans="8:8" ht="15.0" customHeight="1"/>
    <row r="832" spans="8:8" ht="15.0" customHeight="1"/>
    <row r="833" spans="8:8" ht="15.0" customHeight="1"/>
    <row r="834" spans="8:8" ht="15.0" customHeight="1"/>
    <row r="835" spans="8:8" ht="15.0" customHeight="1"/>
    <row r="836" spans="8:8" ht="15.0" customHeight="1"/>
    <row r="837" spans="8:8" ht="15.0" customHeight="1"/>
    <row r="838" spans="8:8" ht="15.0" customHeight="1"/>
    <row r="839" spans="8:8" ht="15.0" customHeight="1"/>
    <row r="840" spans="8:8" ht="15.0" customHeight="1"/>
    <row r="841" spans="8:8" ht="15.0" customHeight="1"/>
    <row r="842" spans="8:8" ht="15.0" customHeight="1"/>
    <row r="843" spans="8:8" ht="15.0" customHeight="1"/>
    <row r="844" spans="8:8" ht="15.0" customHeight="1"/>
    <row r="845" spans="8:8" ht="15.0" customHeight="1"/>
    <row r="846" spans="8:8" ht="15.0" customHeight="1"/>
    <row r="847" spans="8:8" ht="15.0" customHeight="1"/>
    <row r="848" spans="8:8" ht="15.0" customHeight="1"/>
    <row r="849" spans="8:8" ht="15.0" customHeight="1"/>
    <row r="850" spans="8:8" ht="15.0" customHeight="1"/>
    <row r="851" spans="8:8" ht="15.0" customHeight="1"/>
    <row r="852" spans="8:8" ht="15.0" customHeight="1"/>
    <row r="853" spans="8:8" ht="15.0" customHeight="1"/>
    <row r="854" spans="8:8" ht="15.0" customHeight="1"/>
    <row r="855" spans="8:8" ht="15.0" customHeight="1"/>
    <row r="856" spans="8:8" ht="15.0" customHeight="1"/>
    <row r="857" spans="8:8" ht="15.0" customHeight="1"/>
    <row r="858" spans="8:8" ht="15.0" customHeight="1"/>
    <row r="859" spans="8:8" ht="15.0" customHeight="1"/>
    <row r="860" spans="8:8" ht="15.0" customHeight="1"/>
    <row r="861" spans="8:8" ht="15.0" customHeight="1"/>
    <row r="862" spans="8:8" ht="15.0" customHeight="1"/>
    <row r="863" spans="8:8" ht="15.0" customHeight="1"/>
    <row r="864" spans="8:8" ht="15.0" customHeight="1"/>
    <row r="865" spans="8:8" ht="15.0" customHeight="1"/>
    <row r="866" spans="8:8" ht="15.0" customHeight="1"/>
    <row r="867" spans="8:8" ht="15.0" customHeight="1"/>
    <row r="868" spans="8:8" ht="15.0" customHeight="1"/>
    <row r="869" spans="8:8" ht="15.0" customHeight="1"/>
    <row r="870" spans="8:8" ht="15.0" customHeight="1"/>
    <row r="871" spans="8:8" ht="15.0" customHeight="1"/>
    <row r="872" spans="8:8" ht="15.0" customHeight="1"/>
    <row r="873" spans="8:8" ht="15.0" customHeight="1"/>
    <row r="874" spans="8:8" ht="15.0" customHeight="1"/>
    <row r="875" spans="8:8" ht="15.0" customHeight="1"/>
    <row r="876" spans="8:8" ht="15.0" customHeight="1"/>
    <row r="877" spans="8:8" ht="15.0" customHeight="1"/>
    <row r="878" spans="8:8" ht="15.0" customHeight="1"/>
    <row r="879" spans="8:8" ht="15.0" customHeight="1"/>
    <row r="880" spans="8:8" ht="15.0" customHeight="1"/>
    <row r="881" spans="8:8" ht="15.0" customHeight="1"/>
    <row r="882" spans="8:8" ht="15.0" customHeight="1"/>
    <row r="883" spans="8:8" ht="15.0" customHeight="1"/>
    <row r="884" spans="8:8" ht="15.0" customHeight="1"/>
    <row r="885" spans="8:8" ht="15.0" customHeight="1"/>
    <row r="886" spans="8:8" ht="15.0" customHeight="1"/>
    <row r="887" spans="8:8" ht="15.0" customHeight="1"/>
    <row r="888" spans="8:8" ht="15.0" customHeight="1"/>
    <row r="889" spans="8:8" ht="15.0" customHeight="1"/>
    <row r="890" spans="8:8" ht="15.0" customHeight="1"/>
    <row r="891" spans="8:8" ht="15.0" customHeight="1"/>
    <row r="892" spans="8:8" ht="15.0" customHeight="1"/>
    <row r="893" spans="8:8" ht="15.0" customHeight="1"/>
    <row r="894" spans="8:8" ht="15.0" customHeight="1"/>
    <row r="895" spans="8:8" ht="15.0" customHeight="1"/>
    <row r="896" spans="8:8" ht="15.0" customHeight="1"/>
    <row r="897" spans="8:8" ht="15.0" customHeight="1"/>
    <row r="898" spans="8:8" ht="15.0" customHeight="1"/>
    <row r="899" spans="8:8" ht="15.0" customHeight="1"/>
    <row r="900" spans="8:8" ht="15.0" customHeight="1"/>
    <row r="901" spans="8:8" ht="15.0" customHeight="1"/>
    <row r="902" spans="8:8" ht="15.0" customHeight="1"/>
    <row r="903" spans="8:8" ht="15.0" customHeight="1"/>
    <row r="904" spans="8:8" ht="15.0" customHeight="1"/>
    <row r="905" spans="8:8" ht="15.0" customHeight="1"/>
    <row r="906" spans="8:8" ht="15.0" customHeight="1"/>
    <row r="907" spans="8:8" ht="15.0" customHeight="1"/>
    <row r="908" spans="8:8" ht="15.0" customHeight="1"/>
    <row r="909" spans="8:8" ht="15.0" customHeight="1"/>
    <row r="910" spans="8:8" ht="15.0" customHeight="1"/>
    <row r="911" spans="8:8" ht="15.0" customHeight="1"/>
    <row r="912" spans="8:8" ht="15.0" customHeight="1"/>
    <row r="913" spans="8:8" ht="15.0" customHeight="1"/>
    <row r="914" spans="8:8" ht="15.0" customHeight="1"/>
    <row r="915" spans="8:8" ht="15.0" customHeight="1"/>
    <row r="916" spans="8:8" ht="15.0" customHeight="1"/>
    <row r="917" spans="8:8" ht="15.0" customHeight="1"/>
    <row r="918" spans="8:8" ht="15.0" customHeight="1"/>
    <row r="919" spans="8:8" ht="15.0" customHeight="1"/>
    <row r="920" spans="8:8" ht="15.0" customHeight="1"/>
    <row r="921" spans="8:8" ht="15.0" customHeight="1"/>
    <row r="922" spans="8:8" ht="15.0" customHeight="1"/>
    <row r="923" spans="8:8" ht="15.0" customHeight="1"/>
    <row r="924" spans="8:8" ht="15.0" customHeight="1"/>
    <row r="925" spans="8:8" ht="15.0" customHeight="1"/>
    <row r="926" spans="8:8" ht="15.0" customHeight="1"/>
    <row r="927" spans="8:8" ht="15.0" customHeight="1"/>
    <row r="928" spans="8:8" ht="15.0" customHeight="1"/>
    <row r="929" spans="8:8" ht="15.0" customHeight="1"/>
    <row r="930" spans="8:8" ht="15.0" customHeight="1"/>
    <row r="931" spans="8:8" ht="15.0" customHeight="1"/>
    <row r="932" spans="8:8" ht="15.0" customHeight="1"/>
    <row r="933" spans="8:8" ht="15.0" customHeight="1"/>
    <row r="934" spans="8:8" ht="15.0" customHeight="1"/>
    <row r="935" spans="8:8" ht="15.0" customHeight="1"/>
    <row r="936" spans="8:8" ht="15.0" customHeight="1"/>
    <row r="937" spans="8:8" ht="15.0" customHeight="1"/>
    <row r="938" spans="8:8" ht="15.0" customHeight="1"/>
    <row r="939" spans="8:8" ht="15.0" customHeight="1"/>
    <row r="940" spans="8:8" ht="15.0" customHeight="1"/>
    <row r="941" spans="8:8" ht="15.0" customHeight="1"/>
    <row r="942" spans="8:8" ht="15.0" customHeight="1"/>
    <row r="943" spans="8:8" ht="15.0" customHeight="1"/>
    <row r="944" spans="8:8" ht="15.0" customHeight="1"/>
    <row r="945" spans="8:8" ht="15.0" customHeight="1"/>
    <row r="946" spans="8:8" ht="15.0" customHeight="1"/>
    <row r="947" spans="8:8" ht="15.0" customHeight="1"/>
    <row r="948" spans="8:8" ht="15.0" customHeight="1"/>
    <row r="949" spans="8:8" ht="15.0" customHeight="1"/>
    <row r="950" spans="8:8" ht="15.0" customHeight="1"/>
    <row r="951" spans="8:8" ht="15.0" customHeight="1"/>
    <row r="952" spans="8:8" ht="15.0" customHeight="1"/>
    <row r="953" spans="8:8" ht="15.0" customHeight="1"/>
    <row r="954" spans="8:8" ht="15.0" customHeight="1"/>
    <row r="955" spans="8:8" ht="15.0" customHeight="1"/>
    <row r="956" spans="8:8" ht="15.0" customHeight="1"/>
    <row r="957" spans="8:8" ht="15.0" customHeight="1"/>
    <row r="958" spans="8:8" ht="15.0" customHeight="1"/>
    <row r="959" spans="8:8" ht="15.0" customHeight="1"/>
    <row r="960" spans="8:8" ht="15.0" customHeight="1"/>
    <row r="961" spans="8:8" ht="15.0" customHeight="1"/>
    <row r="962" spans="8:8" ht="15.0" customHeight="1"/>
    <row r="963" spans="8:8" ht="15.0" customHeight="1"/>
    <row r="964" spans="8:8" ht="15.0" customHeight="1"/>
    <row r="965" spans="8:8" ht="15.0" customHeight="1"/>
    <row r="966" spans="8:8" ht="15.0" customHeight="1"/>
    <row r="967" spans="8:8" ht="15.0" customHeight="1"/>
    <row r="968" spans="8:8" ht="15.0" customHeight="1"/>
    <row r="969" spans="8:8" ht="15.0" customHeight="1"/>
    <row r="970" spans="8:8" ht="15.0" customHeight="1"/>
    <row r="971" spans="8:8" ht="15.0" customHeight="1"/>
    <row r="972" spans="8:8" ht="15.0" customHeight="1"/>
    <row r="973" spans="8:8" ht="15.0" customHeight="1"/>
    <row r="974" spans="8:8" ht="15.0" customHeight="1"/>
    <row r="975" spans="8:8" ht="15.0" customHeight="1"/>
    <row r="976" spans="8:8" ht="15.0" customHeight="1"/>
    <row r="977" spans="8:8" ht="15.0" customHeight="1"/>
    <row r="978" spans="8:8" ht="15.0" customHeight="1"/>
    <row r="979" spans="8:8" ht="15.0" customHeight="1"/>
    <row r="980" spans="8:8" ht="15.0" customHeight="1"/>
    <row r="981" spans="8:8" ht="15.0" customHeight="1"/>
    <row r="982" spans="8:8" ht="15.0" customHeight="1"/>
    <row r="983" spans="8:8" ht="15.0" customHeight="1"/>
    <row r="984" spans="8:8" ht="15.0" customHeight="1"/>
    <row r="985" spans="8:8" ht="15.0" customHeight="1"/>
    <row r="986" spans="8:8" ht="15.0" customHeight="1"/>
    <row r="987" spans="8:8" ht="15.0" customHeight="1"/>
    <row r="988" spans="8:8" ht="15.0" customHeight="1"/>
    <row r="989" spans="8:8" ht="15.0" customHeight="1"/>
    <row r="990" spans="8:8" ht="15.0" customHeight="1"/>
    <row r="991" spans="8:8" ht="15.0" customHeight="1"/>
    <row r="992" spans="8:8" ht="15.0" customHeight="1"/>
    <row r="993" spans="8:8" ht="15.0" customHeight="1"/>
    <row r="994" spans="8:8" ht="15.0" customHeight="1"/>
    <row r="995" spans="8:8" ht="15.0" customHeight="1"/>
    <row r="996" spans="8:8" ht="15.0" customHeight="1"/>
    <row r="997" spans="8:8" ht="15.0" customHeight="1"/>
    <row r="998" spans="8:8" ht="15.0" customHeight="1"/>
    <row r="999" spans="8:8" ht="15.0" customHeight="1"/>
    <row r="1000" spans="8:8" ht="15.0" customHeight="1"/>
    <row r="1001" spans="8:8" ht="15.0" customHeight="1"/>
    <row r="1002" spans="8:8" ht="15.0" customHeight="1"/>
    <row r="1003" spans="8:8" ht="15.0" customHeight="1"/>
    <row r="1004" spans="8:8" ht="15.0" customHeight="1"/>
    <row r="1005" spans="8:8" ht="15.0" customHeight="1"/>
    <row r="1006" spans="8:8" ht="15.0" customHeight="1"/>
    <row r="1007" spans="8:8" ht="15.0" customHeight="1"/>
    <row r="1008" spans="8:8" ht="15.0" customHeight="1"/>
    <row r="1009" spans="8:8" ht="15.0" customHeight="1"/>
    <row r="1010" spans="8:8" ht="15.0" customHeight="1"/>
    <row r="1011" spans="8:8" ht="15.0" customHeight="1"/>
    <row r="1012" spans="8:8" ht="15.0" customHeight="1"/>
    <row r="1013" spans="8:8" ht="15.0" customHeight="1"/>
    <row r="1014" spans="8:8" ht="15.0" customHeight="1"/>
    <row r="1015" spans="8:8" ht="15.0" customHeight="1"/>
    <row r="1016" spans="8:8" ht="15.0" customHeight="1"/>
    <row r="1017" spans="8:8" ht="15.0" customHeight="1"/>
    <row r="1018" spans="8:8" ht="15.0" customHeight="1"/>
    <row r="1019" spans="8:8" ht="15.0" customHeight="1"/>
    <row r="1020" spans="8:8" ht="15.0" customHeight="1"/>
    <row r="1021" spans="8:8" ht="15.0" customHeight="1"/>
    <row r="1022" spans="8:8" ht="15.0" customHeight="1"/>
    <row r="1023" spans="8:8" ht="15.0" customHeight="1"/>
    <row r="1024" spans="8:8" ht="15.0" customHeight="1"/>
    <row r="1025" spans="8:8" ht="15.0" customHeight="1"/>
    <row r="1026" spans="8:8" ht="15.0" customHeight="1"/>
    <row r="1027" spans="8:8" ht="15.0" customHeight="1"/>
    <row r="1028" spans="8:8" ht="15.0" customHeight="1"/>
    <row r="1029" spans="8:8" ht="15.0" customHeight="1"/>
    <row r="1030" spans="8:8" ht="15.0" customHeight="1"/>
    <row r="1031" spans="8:8" ht="15.0" customHeight="1"/>
    <row r="1032" spans="8:8" ht="15.0" customHeight="1"/>
    <row r="1033" spans="8:8" ht="15.0" customHeight="1"/>
    <row r="1034" spans="8:8" ht="15.0" customHeight="1"/>
    <row r="1035" spans="8:8" ht="15.0" customHeight="1"/>
    <row r="1036" spans="8:8" ht="15.0" customHeight="1"/>
    <row r="1037" spans="8:8" ht="15.0" customHeight="1"/>
    <row r="1038" spans="8:8" ht="15.0" customHeight="1"/>
    <row r="1039" spans="8:8" ht="15.0" customHeight="1"/>
    <row r="1040" spans="8:8" ht="15.0" customHeight="1"/>
    <row r="1041" spans="8:8" ht="15.0" customHeight="1"/>
    <row r="1042" spans="8:8" ht="15.0" customHeight="1"/>
    <row r="1043" spans="8:8" ht="15.0" customHeight="1"/>
    <row r="1044" spans="8:8" ht="15.0" customHeight="1"/>
    <row r="1045" spans="8:8" ht="15.0" customHeight="1"/>
    <row r="1046" spans="8:8" ht="15.0" customHeight="1"/>
    <row r="1047" spans="8:8" ht="15.0" customHeight="1"/>
    <row r="1048" spans="8:8" ht="15.0" customHeight="1"/>
    <row r="1049" spans="8:8" ht="15.0" customHeight="1"/>
    <row r="1050" spans="8:8" ht="15.0" customHeight="1"/>
    <row r="1051" spans="8:8" ht="15.0" customHeight="1"/>
    <row r="1052" spans="8:8" ht="15.0" customHeight="1"/>
    <row r="1053" spans="8:8" ht="15.0" customHeight="1"/>
    <row r="1054" spans="8:8" ht="15.0" customHeight="1"/>
    <row r="1055" spans="8:8" ht="15.0" customHeight="1"/>
    <row r="1056" spans="8:8" ht="15.0" customHeight="1"/>
    <row r="1057" spans="8:8" ht="15.0" customHeight="1"/>
    <row r="1058" spans="8:8" ht="15.0" customHeight="1"/>
    <row r="1059" spans="8:8" ht="15.0" customHeight="1"/>
    <row r="1060" spans="8:8" ht="15.0" customHeight="1"/>
    <row r="1061" spans="8:8" ht="15.0" customHeight="1"/>
    <row r="1062" spans="8:8" ht="15.0" customHeight="1"/>
    <row r="1063" spans="8:8" ht="15.0" customHeight="1"/>
    <row r="1064" spans="8:8" ht="15.0" customHeight="1"/>
    <row r="1065" spans="8:8" ht="15.0" customHeight="1"/>
    <row r="1066" spans="8:8" ht="15.0" customHeight="1"/>
    <row r="1067" spans="8:8" ht="15.0" customHeight="1"/>
    <row r="1068" spans="8:8" ht="15.0" customHeight="1"/>
    <row r="1069" spans="8:8" ht="15.0" customHeight="1"/>
    <row r="1070" spans="8:8" ht="15.0" customHeight="1"/>
    <row r="1071" spans="8:8" ht="15.0" customHeight="1"/>
    <row r="1072" spans="8:8" ht="15.0" customHeight="1"/>
    <row r="1073" spans="8:8" ht="15.0" customHeight="1"/>
    <row r="1074" spans="8:8" ht="15.0" customHeight="1"/>
    <row r="1075" spans="8:8" ht="15.0" customHeight="1"/>
    <row r="1076" spans="8:8" ht="15.0" customHeight="1"/>
    <row r="1077" spans="8:8" ht="15.0" customHeight="1"/>
    <row r="1078" spans="8:8" ht="15.0" customHeight="1"/>
    <row r="1079" spans="8:8" ht="15.0" customHeight="1"/>
    <row r="1080" spans="8:8" ht="15.0" customHeight="1"/>
    <row r="1081" spans="8:8" ht="15.0" customHeight="1"/>
    <row r="1082" spans="8:8" ht="15.0" customHeight="1"/>
    <row r="1083" spans="8:8" ht="15.0" customHeight="1"/>
    <row r="1084" spans="8:8" ht="15.0" customHeight="1"/>
    <row r="1085" spans="8:8" ht="15.0" customHeight="1"/>
    <row r="1086" spans="8:8" ht="15.0" customHeight="1"/>
    <row r="1087" spans="8:8" ht="15.0" customHeight="1"/>
    <row r="1088" spans="8:8" ht="15.0" customHeight="1"/>
    <row r="1089" spans="8:8" ht="15.0" customHeight="1"/>
    <row r="1090" spans="8:8" ht="15.0" customHeight="1"/>
    <row r="1091" spans="8:8" ht="15.0" customHeight="1"/>
    <row r="1092" spans="8:8" ht="15.0" customHeight="1"/>
    <row r="1093" spans="8:8" ht="15.0" customHeight="1"/>
    <row r="1094" spans="8:8" ht="15.0" customHeight="1"/>
    <row r="1095" spans="8:8" ht="15.0" customHeight="1"/>
    <row r="1096" spans="8:8" ht="15.0" customHeight="1"/>
    <row r="1097" spans="8:8" ht="15.0" customHeight="1"/>
    <row r="1098" spans="8:8" ht="15.0" customHeight="1"/>
    <row r="1099" spans="8:8" ht="15.0" customHeight="1"/>
    <row r="1100" spans="8:8" ht="15.0" customHeight="1"/>
    <row r="1101" spans="8:8" ht="15.0" customHeight="1"/>
    <row r="1102" spans="8:8" ht="15.0" customHeight="1"/>
    <row r="1103" spans="8:8" ht="15.0" customHeight="1"/>
    <row r="1104" spans="8:8" ht="15.0" customHeight="1"/>
    <row r="1105" spans="8:8" ht="15.0" customHeight="1"/>
    <row r="1106" spans="8:8" ht="15.0" customHeight="1"/>
    <row r="1107" spans="8:8" ht="15.0" customHeight="1"/>
    <row r="1108" spans="8:8" ht="15.0" customHeight="1"/>
    <row r="1109" spans="8:8" ht="15.0" customHeight="1"/>
    <row r="1110" spans="8:8" ht="15.0" customHeight="1"/>
    <row r="1111" spans="8:8" ht="15.0" customHeight="1"/>
    <row r="1112" spans="8:8" ht="15.0" customHeight="1"/>
    <row r="1113" spans="8:8" ht="15.0" customHeight="1"/>
    <row r="1114" spans="8:8" ht="15.0" customHeight="1"/>
    <row r="1115" spans="8:8" ht="15.0" customHeight="1"/>
    <row r="1116" spans="8:8" ht="15.0" customHeight="1"/>
    <row r="1117" spans="8:8" ht="15.0" customHeight="1"/>
    <row r="1118" spans="8:8" ht="15.0" customHeight="1"/>
    <row r="1119" spans="8:8" ht="15.0" customHeight="1"/>
    <row r="1120" spans="8:8" ht="15.0" customHeight="1"/>
    <row r="1121" spans="8:8" ht="15.0" customHeight="1"/>
    <row r="1122" spans="8:8" ht="15.0" customHeight="1"/>
    <row r="1123" spans="8:8" ht="15.0" customHeight="1"/>
    <row r="1124" spans="8:8" ht="15.0" customHeight="1"/>
    <row r="1125" spans="8:8" ht="15.0" customHeight="1"/>
    <row r="1126" spans="8:8" ht="15.0" customHeight="1"/>
    <row r="1127" spans="8:8" ht="15.0" customHeight="1"/>
    <row r="1128" spans="8:8" ht="15.0" customHeight="1"/>
    <row r="1129" spans="8:8" ht="15.0" customHeight="1"/>
    <row r="1130" spans="8:8" ht="15.0" customHeight="1"/>
    <row r="1131" spans="8:8" ht="15.0" customHeight="1"/>
    <row r="1132" spans="8:8" ht="15.0" customHeight="1"/>
    <row r="1133" spans="8:8" ht="15.0" customHeight="1"/>
    <row r="1134" spans="8:8" ht="15.0" customHeight="1"/>
    <row r="1135" spans="8:8" ht="15.0" customHeight="1"/>
    <row r="1136" spans="8:8" ht="15.0" customHeight="1"/>
    <row r="1137" spans="8:8" ht="15.0" customHeight="1"/>
    <row r="1138" spans="8:8" ht="15.0" customHeight="1"/>
    <row r="1139" spans="8:8" ht="15.0" customHeight="1"/>
    <row r="1140" spans="8:8" ht="15.0" customHeight="1"/>
    <row r="1141" spans="8:8" ht="15.0" customHeight="1"/>
    <row r="1142" spans="8:8" ht="15.0" customHeight="1"/>
    <row r="1143" spans="8:8" ht="15.0" customHeight="1"/>
    <row r="1144" spans="8:8" ht="15.0" customHeight="1"/>
    <row r="1145" spans="8:8" ht="15.0" customHeight="1"/>
    <row r="1146" spans="8:8" ht="15.0" customHeight="1"/>
    <row r="1147" spans="8:8" ht="15.0" customHeight="1"/>
    <row r="1148" spans="8:8" ht="15.0" customHeight="1"/>
    <row r="1149" spans="8:8" ht="15.0" customHeight="1"/>
    <row r="1150" spans="8:8" ht="15.0" customHeight="1"/>
    <row r="1151" spans="8:8" ht="15.0" customHeight="1"/>
    <row r="1152" spans="8:8" ht="15.0" customHeight="1"/>
    <row r="1153" spans="8:8" ht="15.0" customHeight="1"/>
    <row r="1154" spans="8:8" ht="15.0" customHeight="1"/>
    <row r="1155" spans="8:8" ht="15.0" customHeight="1"/>
    <row r="1156" spans="8:8" ht="15.0" customHeight="1"/>
    <row r="1157" spans="8:8" ht="15.0" customHeight="1"/>
    <row r="1158" spans="8:8" ht="15.0" customHeight="1"/>
    <row r="1159" spans="8:8" ht="15.0" customHeight="1"/>
    <row r="1160" spans="8:8" ht="15.0" customHeight="1"/>
    <row r="1161" spans="8:8" ht="15.0" customHeight="1"/>
    <row r="1162" spans="8:8" ht="15.0" customHeight="1"/>
    <row r="1163" spans="8:8" ht="15.0" customHeight="1"/>
    <row r="1164" spans="8:8" ht="15.0" customHeight="1"/>
    <row r="1165" spans="8:8" ht="15.0" customHeight="1"/>
    <row r="1166" spans="8:8" ht="15.0" customHeight="1"/>
    <row r="1167" spans="8:8" ht="15.0" customHeight="1"/>
    <row r="1168" spans="8:8" ht="15.0" customHeight="1"/>
    <row r="1169" spans="8:8" ht="15.0" customHeight="1"/>
    <row r="1170" spans="8:8" ht="15.0" customHeight="1"/>
    <row r="1171" spans="8:8" ht="15.0" customHeight="1"/>
    <row r="1172" spans="8:8" ht="15.0" customHeight="1"/>
    <row r="1173" spans="8:8" ht="15.0" customHeight="1"/>
    <row r="1174" spans="8:8" ht="15.0" customHeight="1">
      <c r="L1174" s="102"/>
      <c r="Q1174" s="1"/>
    </row>
    <row r="1175" spans="8:8" ht="15.0" customHeight="1">
      <c r="L1175" s="102"/>
      <c r="Q1175" s="1"/>
    </row>
    <row r="1176" spans="8:8" ht="15.0" customHeight="1">
      <c r="L1176" s="102"/>
      <c r="Q1176" s="1"/>
    </row>
    <row r="1177" spans="8:8" ht="15.0" customHeight="1">
      <c r="L1177" s="102"/>
      <c r="Q1177" s="1"/>
    </row>
    <row r="1178" spans="8:8" ht="15.0" customHeight="1">
      <c r="L1178" s="102"/>
      <c r="Q1178" s="1"/>
    </row>
    <row r="1179" spans="8:8" ht="15.0" customHeight="1">
      <c r="L1179" s="102"/>
      <c r="Q1179" s="1"/>
    </row>
    <row r="1180" spans="8:8" ht="15.0" customHeight="1">
      <c r="L1180" s="102"/>
      <c r="Q1180" s="1"/>
    </row>
    <row r="1181" spans="8:8" ht="15.0" customHeight="1">
      <c r="L1181" s="102"/>
      <c r="Q1181" s="1"/>
    </row>
    <row r="1182" spans="8:8" ht="15.0" customHeight="1">
      <c r="L1182" s="102"/>
      <c r="Q1182" s="1"/>
    </row>
    <row r="1183" spans="8:8" ht="15.0" customHeight="1">
      <c r="L1183" s="102"/>
      <c r="Q1183" s="1"/>
    </row>
    <row r="1184" spans="8:8" ht="15.0" customHeight="1">
      <c r="L1184" s="102"/>
      <c r="Q1184" s="1"/>
    </row>
    <row r="1185" spans="8:8" ht="15.0" customHeight="1">
      <c r="L1185" s="102"/>
      <c r="Q1185" s="1"/>
    </row>
    <row r="1186" spans="8:8" ht="15.0" customHeight="1">
      <c r="L1186" s="102"/>
      <c r="Q1186" s="1"/>
    </row>
    <row r="1187" spans="8:8" ht="15.0" customHeight="1">
      <c r="L1187" s="102"/>
      <c r="Q1187" s="1"/>
    </row>
    <row r="1188" spans="8:8" ht="15.0" customHeight="1">
      <c r="L1188" s="102"/>
      <c r="Q1188" s="1"/>
    </row>
    <row r="1189" spans="8:8" ht="15.0" customHeight="1">
      <c r="L1189" s="102"/>
      <c r="Q1189" s="1"/>
    </row>
    <row r="1190" spans="8:8" ht="15.0" customHeight="1">
      <c r="L1190" s="102"/>
      <c r="Q1190" s="1"/>
    </row>
    <row r="1191" spans="8:8" ht="15.0" customHeight="1">
      <c r="L1191" s="102"/>
      <c r="Q1191" s="1"/>
    </row>
    <row r="1192" spans="8:8" ht="15.0" customHeight="1">
      <c r="L1192" s="102"/>
      <c r="Q1192" s="1"/>
    </row>
    <row r="1193" spans="8:8" ht="15.0" customHeight="1">
      <c r="L1193" s="102"/>
      <c r="Q1193" s="1"/>
    </row>
    <row r="1194" spans="8:8" ht="15.0" customHeight="1">
      <c r="L1194" s="102"/>
      <c r="Q1194" s="1"/>
    </row>
    <row r="1195" spans="8:8" ht="15.0" customHeight="1">
      <c r="L1195" s="102"/>
      <c r="Q1195" s="1"/>
    </row>
    <row r="1196" spans="8:8" ht="15.0" customHeight="1">
      <c r="L1196" s="102"/>
      <c r="Q1196" s="1"/>
    </row>
    <row r="1197" spans="8:8" ht="15.0" customHeight="1">
      <c r="L1197" s="102"/>
      <c r="Q1197" s="1"/>
    </row>
    <row r="1198" spans="8:8" ht="15.0" customHeight="1">
      <c r="L1198" s="102"/>
      <c r="Q1198" s="1"/>
    </row>
    <row r="1199" spans="8:8" ht="15.0" customHeight="1">
      <c r="L1199" s="102"/>
      <c r="Q1199" s="1"/>
    </row>
    <row r="1200" spans="8:8" ht="15.0" customHeight="1">
      <c r="L1200" s="102"/>
      <c r="Q1200" s="1"/>
    </row>
    <row r="1201" spans="8:8" ht="15.0" customHeight="1">
      <c r="L1201" s="102"/>
      <c r="Q1201" s="1"/>
    </row>
    <row r="1202" spans="8:8" ht="15.0" customHeight="1">
      <c r="L1202" s="102"/>
      <c r="Q1202" s="1"/>
    </row>
    <row r="1203" spans="8:8" ht="15.0" customHeight="1">
      <c r="L1203" s="102"/>
      <c r="Q1203" s="1"/>
    </row>
    <row r="1204" spans="8:8" ht="15.0" customHeight="1">
      <c r="L1204" s="102"/>
      <c r="Q1204" s="1"/>
    </row>
    <row r="1205" spans="8:8" ht="15.0" customHeight="1">
      <c r="L1205" s="102"/>
      <c r="Q1205" s="1"/>
    </row>
    <row r="1206" spans="8:8" ht="15.0" customHeight="1">
      <c r="L1206" s="102"/>
      <c r="Q1206" s="1"/>
    </row>
    <row r="1207" spans="8:8" ht="15.0" customHeight="1">
      <c r="L1207" s="102"/>
      <c r="Q1207" s="1"/>
    </row>
    <row r="1208" spans="8:8" ht="15.0" customHeight="1">
      <c r="L1208" s="102"/>
      <c r="Q1208" s="1"/>
    </row>
    <row r="1209" spans="8:8" ht="15.0" customHeight="1">
      <c r="L1209" s="102"/>
      <c r="Q1209" s="1"/>
    </row>
    <row r="1210" spans="8:8" ht="15.0" customHeight="1">
      <c r="L1210" s="102"/>
      <c r="Q1210" s="1"/>
    </row>
    <row r="1211" spans="8:8" ht="15.0" customHeight="1">
      <c r="L1211" s="102"/>
      <c r="Q1211" s="1"/>
    </row>
    <row r="1212" spans="8:8" ht="15.0" customHeight="1">
      <c r="L1212" s="102"/>
      <c r="Q1212" s="1"/>
    </row>
    <row r="1213" spans="8:8" ht="15.0" customHeight="1">
      <c r="L1213" s="102"/>
      <c r="Q1213" s="1"/>
    </row>
    <row r="1214" spans="8:8" ht="15.0" customHeight="1">
      <c r="L1214" s="102"/>
      <c r="Q1214" s="1"/>
    </row>
    <row r="1215" spans="8:8" ht="15.0" customHeight="1">
      <c r="L1215" s="102"/>
      <c r="Q1215" s="1"/>
    </row>
    <row r="1216" spans="8:8" ht="15.0" customHeight="1">
      <c r="L1216" s="102"/>
      <c r="Q1216" s="1"/>
    </row>
    <row r="1217" spans="8:8" ht="15.0" customHeight="1">
      <c r="L1217" s="102"/>
      <c r="Q1217" s="1"/>
    </row>
    <row r="1218" spans="8:8" ht="15.0" customHeight="1">
      <c r="L1218" s="102"/>
      <c r="Q1218" s="1"/>
    </row>
    <row r="1219" spans="8:8" ht="15.0" customHeight="1">
      <c r="L1219" s="102"/>
      <c r="Q1219" s="1"/>
    </row>
    <row r="1220" spans="8:8" ht="15.0" customHeight="1">
      <c r="L1220" s="102"/>
      <c r="Q1220" s="1"/>
    </row>
    <row r="1221" spans="8:8" ht="15.0" customHeight="1">
      <c r="L1221" s="102"/>
      <c r="Q1221" s="1"/>
    </row>
    <row r="1222" spans="8:8" ht="15.0" customHeight="1">
      <c r="L1222" s="102"/>
      <c r="Q1222" s="1"/>
    </row>
    <row r="1223" spans="8:8" ht="15.0" customHeight="1">
      <c r="L1223" s="102"/>
      <c r="Q1223" s="1"/>
    </row>
    <row r="1224" spans="8:8" ht="15.0" customHeight="1">
      <c r="L1224" s="102"/>
      <c r="Q1224" s="1"/>
    </row>
    <row r="1225" spans="8:8" ht="15.0" customHeight="1">
      <c r="L1225" s="102"/>
      <c r="Q1225" s="1"/>
    </row>
    <row r="1226" spans="8:8" ht="15.0" customHeight="1">
      <c r="L1226" s="102"/>
      <c r="Q1226" s="1"/>
    </row>
    <row r="1227" spans="8:8" ht="15.0" customHeight="1">
      <c r="L1227" s="102"/>
      <c r="Q1227" s="1"/>
    </row>
    <row r="1228" spans="8:8" ht="15.0" customHeight="1">
      <c r="L1228" s="102"/>
      <c r="Q1228" s="1"/>
    </row>
    <row r="1229" spans="8:8" ht="15.0" customHeight="1">
      <c r="L1229" s="102"/>
      <c r="Q1229" s="1"/>
    </row>
    <row r="1230" spans="8:8" ht="15.0" customHeight="1">
      <c r="L1230" s="102"/>
      <c r="Q1230" s="1"/>
    </row>
    <row r="1231" spans="8:8" ht="15.0" customHeight="1">
      <c r="L1231" s="102"/>
      <c r="Q1231" s="1"/>
    </row>
    <row r="1232" spans="8:8" ht="15.0" customHeight="1">
      <c r="L1232" s="102"/>
      <c r="Q1232" s="1"/>
    </row>
    <row r="1233" spans="8:8" ht="15.0" customHeight="1">
      <c r="L1233" s="102"/>
      <c r="Q1233" s="1"/>
    </row>
    <row r="1234" spans="8:8" ht="15.0" customHeight="1">
      <c r="L1234" s="102"/>
      <c r="Q1234" s="1"/>
    </row>
    <row r="1235" spans="8:8" ht="15.0" customHeight="1">
      <c r="L1235" s="102"/>
      <c r="Q1235" s="1"/>
    </row>
    <row r="1236" spans="8:8" ht="15.0" customHeight="1">
      <c r="L1236" s="102"/>
      <c r="Q1236" s="1"/>
    </row>
    <row r="1237" spans="8:8" ht="15.0" customHeight="1">
      <c r="L1237" s="102"/>
      <c r="Q1237" s="1"/>
    </row>
    <row r="1238" spans="8:8" ht="15.0" customHeight="1">
      <c r="L1238" s="102"/>
      <c r="Q1238" s="1"/>
    </row>
    <row r="1239" spans="8:8" ht="15.0" customHeight="1">
      <c r="L1239" s="102"/>
      <c r="Q1239" s="1"/>
    </row>
    <row r="1240" spans="8:8" ht="15.0" customHeight="1">
      <c r="L1240" s="102"/>
      <c r="Q1240" s="1"/>
    </row>
    <row r="1241" spans="8:8" ht="15.0" customHeight="1">
      <c r="L1241" s="102"/>
      <c r="Q1241" s="1"/>
    </row>
    <row r="1242" spans="8:8" ht="15.0" customHeight="1">
      <c r="L1242" s="102"/>
      <c r="Q1242" s="1"/>
    </row>
    <row r="1243" spans="8:8" ht="15.0" customHeight="1">
      <c r="L1243" s="102"/>
      <c r="Q1243" s="1"/>
    </row>
    <row r="1244" spans="8:8" ht="15.0" customHeight="1">
      <c r="L1244" s="102"/>
      <c r="Q1244" s="1"/>
    </row>
    <row r="1245" spans="8:8" ht="15.0" customHeight="1">
      <c r="L1245" s="102"/>
      <c r="Q1245" s="1"/>
    </row>
    <row r="1246" spans="8:8" ht="15.0" customHeight="1">
      <c r="L1246" s="102"/>
      <c r="Q1246" s="1"/>
    </row>
    <row r="1247" spans="8:8" ht="15.0" customHeight="1">
      <c r="L1247" s="102"/>
      <c r="Q1247" s="1"/>
    </row>
    <row r="1248" spans="8:8" ht="15.0" customHeight="1">
      <c r="L1248" s="102"/>
      <c r="Q1248" s="1"/>
    </row>
    <row r="1249" spans="8:8" ht="15.0" customHeight="1">
      <c r="L1249" s="102"/>
      <c r="Q1249" s="1"/>
    </row>
    <row r="1250" spans="8:8" ht="15.0" customHeight="1">
      <c r="L1250" s="102"/>
      <c r="Q1250" s="1"/>
    </row>
    <row r="1251" spans="8:8" ht="15.0" customHeight="1">
      <c r="L1251" s="102"/>
      <c r="Q1251" s="1"/>
    </row>
    <row r="1252" spans="8:8" ht="15.0" customHeight="1">
      <c r="L1252" s="102"/>
      <c r="Q1252" s="1"/>
    </row>
    <row r="1253" spans="8:8" ht="15.0" customHeight="1">
      <c r="L1253" s="102"/>
      <c r="Q1253" s="1"/>
    </row>
  </sheetData>
  <mergeCells count="71">
    <mergeCell ref="I10:I12"/>
    <mergeCell ref="A2:C2"/>
    <mergeCell ref="J4:J6"/>
    <mergeCell ref="A16:A21"/>
    <mergeCell ref="E25:E27"/>
    <mergeCell ref="I19:I21"/>
    <mergeCell ref="E13:E15"/>
    <mergeCell ref="B13:B15"/>
    <mergeCell ref="G7:G9"/>
    <mergeCell ref="E4:E6"/>
    <mergeCell ref="E7:E9"/>
    <mergeCell ref="C4:C6"/>
    <mergeCell ref="F13:F15"/>
    <mergeCell ref="A4:A9"/>
    <mergeCell ref="G16:G18"/>
    <mergeCell ref="F22:F24"/>
    <mergeCell ref="B10:B12"/>
    <mergeCell ref="G10:G12"/>
    <mergeCell ref="F10:F12"/>
    <mergeCell ref="E10:E12"/>
    <mergeCell ref="C22:C24"/>
    <mergeCell ref="I22:I24"/>
    <mergeCell ref="I25:I27"/>
    <mergeCell ref="G25:G27"/>
    <mergeCell ref="B19:B21"/>
    <mergeCell ref="D10:D12"/>
    <mergeCell ref="A22:A27"/>
    <mergeCell ref="F25:F27"/>
    <mergeCell ref="B16:B18"/>
    <mergeCell ref="G19:G21"/>
    <mergeCell ref="C25:C27"/>
    <mergeCell ref="C19:C21"/>
    <mergeCell ref="J19:J21"/>
    <mergeCell ref="J7:J9"/>
    <mergeCell ref="D4:D6"/>
    <mergeCell ref="C7:C9"/>
    <mergeCell ref="J22:J24"/>
    <mergeCell ref="F16:F18"/>
    <mergeCell ref="B22:B24"/>
    <mergeCell ref="J13:J15"/>
    <mergeCell ref="I16:I18"/>
    <mergeCell ref="D22:D24"/>
    <mergeCell ref="F19:F21"/>
    <mergeCell ref="J25:J27"/>
    <mergeCell ref="A1:C1"/>
    <mergeCell ref="F7:F9"/>
    <mergeCell ref="I4:I6"/>
    <mergeCell ref="C16:C18"/>
    <mergeCell ref="E2:F2"/>
    <mergeCell ref="E16:E18"/>
    <mergeCell ref="D13:D15"/>
    <mergeCell ref="D7:D9"/>
    <mergeCell ref="D25:D27"/>
    <mergeCell ref="I7:I9"/>
    <mergeCell ref="C13:C15"/>
    <mergeCell ref="B7:B9"/>
    <mergeCell ref="F4:F6"/>
    <mergeCell ref="I13:I15"/>
    <mergeCell ref="J10:J12"/>
    <mergeCell ref="A10:A15"/>
    <mergeCell ref="E22:E24"/>
    <mergeCell ref="B25:B27"/>
    <mergeCell ref="G13:G15"/>
    <mergeCell ref="C10:C12"/>
    <mergeCell ref="J16:J18"/>
    <mergeCell ref="G22:G24"/>
    <mergeCell ref="D19:D21"/>
    <mergeCell ref="G4:G6"/>
    <mergeCell ref="D16:D18"/>
    <mergeCell ref="B4:B6"/>
    <mergeCell ref="E19:E21"/>
  </mergeCells>
  <pageMargins left="0.118055555555556" right="0.275694444444444" top="0.157638888888889" bottom="0.196527777777778" header="0.511811023622047" footer="0.511811023622047"/>
  <pageSetup paperSize="9"/>
</worksheet>
</file>

<file path=xl/worksheets/sheet4.xml><?xml version="1.0" encoding="utf-8"?>
<worksheet xmlns:r="http://schemas.openxmlformats.org/officeDocument/2006/relationships" xmlns="http://schemas.openxmlformats.org/spreadsheetml/2006/main">
  <dimension ref="A1:Q9"/>
  <sheetViews>
    <sheetView workbookViewId="0" rightToLeft="1" zoomScale="85">
      <selection activeCell="N3" sqref="N3"/>
    </sheetView>
  </sheetViews>
  <sheetFormatPr defaultRowHeight="15.0" defaultColWidth="10" zeroHeight="1"/>
  <cols>
    <col min="2" max="2" customWidth="0" width="10.0" style="1"/>
    <col min="3" max="3" customWidth="1" width="17.148438" style="149"/>
    <col min="4" max="4" customWidth="1" width="16.0" style="149"/>
    <col min="5" max="5" customWidth="0" width="10.0" style="150"/>
    <col min="6" max="6" customWidth="1" width="14.417969" style="151"/>
    <col min="7" max="7" customWidth="1" width="12.707031" style="151"/>
    <col min="8" max="8" customWidth="1" width="14.417969" style="151"/>
    <col min="9" max="9" customWidth="0" width="10.0" style="152"/>
    <col min="10" max="10" customWidth="1" width="13.707031" style="153"/>
    <col min="12" max="12" customWidth="1" width="21.429688" style="2"/>
    <col min="13" max="13" customWidth="1" width="6.2890625" style="2"/>
    <col min="14" max="14" customWidth="1" width="9.136719" style="2"/>
    <col min="15" max="15" customWidth="0" width="10.0" style="1"/>
  </cols>
  <sheetData>
    <row r="1" spans="8:8" ht="15.0" customHeight="1">
      <c r="A1" s="1">
        <f>IF(N1&gt;0,1,0)</f>
        <v>1.0</v>
      </c>
      <c r="B1" s="1" t="str">
        <f>SUBSTITUTE(DATA!E1,"/","")</f>
        <v>0607</v>
      </c>
      <c r="C1" s="150">
        <f>((LOOKUP(DATA!F4,DATA!K2:K1494,DATA!M2:M1494)))</f>
        <v>733491.115</v>
      </c>
      <c r="D1" s="154">
        <f>((LOOKUP(DATA!F4,DATA!K2:K1494,DATA!N2:N1494)))</f>
        <v>4017882.194</v>
      </c>
      <c r="E1" s="154">
        <f>((LOOKUP(DATA!F4,DATA!K2:K1494,DATA!O2:O1494)))</f>
        <v>964.421</v>
      </c>
      <c r="F1" s="155">
        <f>((LOOKUP(DATA!J4,DATA!K2:K1494,DATA!M2:M1494)))</f>
        <v>733490.406</v>
      </c>
      <c r="G1" s="156">
        <f>((LOOKUP(DATA!J4,DATA!K2:K1494,DATA!N2:N1494)))</f>
        <v>4017883.162</v>
      </c>
      <c r="H1" s="156">
        <f>((LOOKUP(DATA!J4,DATA!K2:K1494,DATA!O2:O1494)))</f>
        <v>964.439</v>
      </c>
      <c r="I1" s="157">
        <f>DATA!G4/100</f>
        <v>0.14</v>
      </c>
      <c r="J1" s="158">
        <f>'فرم نقشه برداری'!X5</f>
        <v>354.34</v>
      </c>
      <c r="K1" s="159">
        <f>IF(SQRT((F1-C1)^2+(G1-D1)^2+(H1-E1)^2)=0,C1,C1+(I1/SQRT((F1-C1)^2+(G1-D1)^2+(H1-E1)^2))*(F1-C1))</f>
        <v>733491.0322841662</v>
      </c>
      <c r="L1" s="159">
        <f>IF(SQRT((F1-C1)^2+(G1-D1)^2+(H1-E1)^2)=0,D1,D1+(I1/SQRT((F1-C1)^2+(G1-D1)^2+(H1-E1)^2))*(G1-D1))</f>
        <v>4017882.3069321965</v>
      </c>
      <c r="M1" s="159">
        <f>IF(SQRT((F1-C1)^2+(G1-D1)^2+(H1-E1)^2)=0,E1,E1+(I1/SQRT((F1-C1)^2+(G1-D1)^2+(H1-E1)^2))*(H1-E1))</f>
        <v>964.4230999788547</v>
      </c>
      <c r="N1" s="38">
        <f>'فرم نقشه برداری'!Y5</f>
        <v>0.9600000000000364</v>
      </c>
      <c r="O1" s="38"/>
    </row>
    <row r="2" spans="8:8" ht="15.0" customHeight="1">
      <c r="A2" s="1">
        <f>IF(N2&gt;0,1,0)</f>
        <v>1.0</v>
      </c>
      <c r="B2" s="1" t="str">
        <f>B1</f>
        <v>0607</v>
      </c>
      <c r="C2" s="149">
        <f>((LOOKUP(DATA!F7,DATA!K2:K1494,DATA!M2:M1494)))</f>
        <v>733482.552</v>
      </c>
      <c r="D2" s="149">
        <f>((LOOKUP(DATA!F7,DATA!K2:K1494,DATA!N2:N1494)))</f>
        <v>4017892.222</v>
      </c>
      <c r="E2" s="150">
        <f>((LOOKUP(DATA!F7,DATA!K2:K1494,DATA!O2:O1494)))</f>
        <v>964.541</v>
      </c>
      <c r="F2" s="151">
        <f>((LOOKUP(DATA!J7,DATA!K2:K1494,DATA!M2:M1494)))</f>
        <v>733481.677</v>
      </c>
      <c r="G2" s="151">
        <f>((LOOKUP(DATA!J7,DATA!K2:K1494,DATA!N2:N1494)))</f>
        <v>4017893.043</v>
      </c>
      <c r="H2" s="151">
        <f>((LOOKUP(DATA!J7,DATA!K2:K1494,DATA!O2:O1494)))</f>
        <v>964.548</v>
      </c>
      <c r="I2" s="152">
        <f>DATA!G7/100</f>
        <v>0.09</v>
      </c>
      <c r="J2" s="158">
        <f>'فرم نقشه برداری'!X6</f>
        <v>367.48999999999995</v>
      </c>
      <c r="K2" s="159">
        <f>IF(SQRT((F2-C2)^2+(G2-D2)^2+(H2-E2)^2)=0,C2,C2+(I2/SQRT((F2-C2)^2+(G2-D2)^2+(H2-E2)^2))*(F2-C2))</f>
        <v>733482.4863685049</v>
      </c>
      <c r="L2" s="159">
        <f>IF(SQRT((F2-C2)^2+(G2-D2)^2+(H2-E2)^2)=0,D2,D2+(I2/SQRT((F2-C2)^2+(G2-D2)^2+(H2-E2)^2))*(G2-D2))</f>
        <v>4017892.2835810944</v>
      </c>
      <c r="M2" s="159">
        <f>IF(SQRT((F2-C2)^2+(G2-D2)^2+(H2-E2)^2)=0,E2,E2+(I2/SQRT((F2-C2)^2+(G2-D2)^2+(H2-E2)^2))*(H2-E2))</f>
        <v>964.5415250519609</v>
      </c>
      <c r="N2" s="38">
        <f>'فرم نقشه برداری'!Y6</f>
        <v>1.1800000000000068</v>
      </c>
    </row>
    <row r="3" spans="8:8" ht="15.0" customHeight="1">
      <c r="A3" s="1">
        <f>IF(N3&gt;0,1,0)</f>
        <v>1.0</v>
      </c>
      <c r="B3" s="1" t="str">
        <f>B2</f>
        <v>0607</v>
      </c>
      <c r="C3" s="149">
        <f>((LOOKUP(DATA!F10,DATA!K2:K1494,DATA!M2:M1494)))</f>
        <v>733342.349</v>
      </c>
      <c r="D3" s="149">
        <f>((LOOKUP(DATA!F10,DATA!K2:K1494,DATA!N2:N1494)))</f>
        <v>4018057.059</v>
      </c>
      <c r="E3" s="150">
        <f>((LOOKUP(DATA!F10,DATA!K2:K1494,DATA!O2:O1494)))</f>
        <v>965.663</v>
      </c>
      <c r="F3" s="160">
        <f>((LOOKUP(DATA!J10,DATA!K2:K1494,DATA!M2:M1494)))</f>
        <v>733341.617</v>
      </c>
      <c r="G3" s="151">
        <f>((LOOKUP(DATA!J10,DATA!K2:K1494,DATA!N2:N1494)))</f>
        <v>4018058.008</v>
      </c>
      <c r="H3" s="151">
        <f>((LOOKUP(DATA!J10,DATA!K2:K1494,DATA!O2:O1494)))</f>
        <v>965.669</v>
      </c>
      <c r="I3" s="152">
        <f>DATA!G10/100</f>
        <v>0.35</v>
      </c>
      <c r="J3" s="158">
        <f>'فرم نقشه برداری'!X7</f>
        <v>584.95</v>
      </c>
      <c r="K3" s="159">
        <f>IF(SQRT((F3-C3)^2+(G3-D3)^2+(H3-E3)^2)=0,C3,C3+(I3/SQRT((F3-C3)^2+(G3-D3)^2+(H3-E3)^2))*(F3-C3))</f>
        <v>733342.1352371625</v>
      </c>
      <c r="L3" s="159">
        <f>IF(SQRT((F3-C3)^2+(G3-D3)^2+(H3-E3)^2)=0,D3,D3+(I3/SQRT((F3-C3)^2+(G3-D3)^2+(H3-E3)^2))*(G3-D3))</f>
        <v>4018057.3361324216</v>
      </c>
      <c r="M3" s="159">
        <f>IF(SQRT((F3-C3)^2+(G3-D3)^2+(H3-E3)^2)=0,E3,E3+(I3/SQRT((F3-C3)^2+(G3-D3)^2+(H3-E3)^2))*(H3-E3))</f>
        <v>965.6647521544058</v>
      </c>
      <c r="N3" s="38">
        <f>'فرم نقشه برداری'!Y7</f>
        <v>0.849999999999909</v>
      </c>
    </row>
    <row r="4" spans="8:8" ht="15.0" customHeight="1">
      <c r="A4" s="1">
        <f>IF(N4&gt;0,1,0)</f>
        <v>0.0</v>
      </c>
      <c r="B4" s="1" t="str">
        <f>B3</f>
        <v>0607</v>
      </c>
      <c r="C4" s="149">
        <f>((LOOKUP(DATA!F13,DATA!K2:K1494,DATA!M2:M1494)))</f>
        <v>733340.054</v>
      </c>
      <c r="D4" s="149">
        <f>((LOOKUP(DATA!F13,DATA!K2:K1494,DATA!N2:N1494)))</f>
        <v>4018059.829</v>
      </c>
      <c r="E4" s="150">
        <f>((LOOKUP(DATA!F13,DATA!K2:K1494,DATA!O2:O1494)))</f>
        <v>965.66</v>
      </c>
      <c r="F4" s="151">
        <f>((LOOKUP(DATA!J13,DATA!K2:K1494,DATA!M2:M1494)))</f>
        <v>733339.272</v>
      </c>
      <c r="G4" s="151">
        <f>((LOOKUP(DATA!J13,DATA!K2:K1494,DATA!N2:N1494)))</f>
        <v>4018060.739</v>
      </c>
      <c r="H4" s="151">
        <f>((LOOKUP(DATA!J13,DATA!K2:K1494,DATA!O2:O1494)))</f>
        <v>965.651</v>
      </c>
      <c r="I4" s="152">
        <f>DATA!G13/100</f>
        <v>0.05</v>
      </c>
      <c r="J4" s="158">
        <f>'فرم نقشه برداری'!X8</f>
        <v>588.25</v>
      </c>
      <c r="K4" s="159">
        <f>IF(SQRT((F4-C4)^2+(G4-D4)^2+(H4-E4)^2)=0,C4,C4+(I4/SQRT((F4-C4)^2+(G4-D4)^2+(H4-E4)^2))*(F4-C4))</f>
        <v>733340.0214133286</v>
      </c>
      <c r="L4" s="159">
        <f>IF(SQRT((F4-C4)^2+(G4-D4)^2+(H4-E4)^2)=0,D4,D4+(I4/SQRT((F4-C4)^2+(G4-D4)^2+(H4-E4)^2))*(G4-D4))</f>
        <v>4018059.866920551</v>
      </c>
      <c r="M4" s="159">
        <f>IF(SQRT((F4-C4)^2+(G4-D4)^2+(H4-E4)^2)=0,E4,E4+(I4/SQRT((F4-C4)^2+(G4-D4)^2+(H4-E4)^2))*(H4-E4))</f>
        <v>965.6596249615826</v>
      </c>
      <c r="N4" s="38">
        <f>'فرم نقشه برداری'!Y8</f>
        <v>0.0</v>
      </c>
    </row>
    <row r="5" spans="8:8" ht="15.0" customHeight="1">
      <c r="A5" s="1">
        <f>IF(N5&gt;0,1,0)</f>
        <v>0.0</v>
      </c>
      <c r="B5" s="1" t="str">
        <f>B4</f>
        <v>0607</v>
      </c>
      <c r="C5" s="149">
        <f>((LOOKUP(DATA!F16,DATA!K2:K1494,DATA!M2:M1494)))</f>
        <v>733176.936</v>
      </c>
      <c r="D5" s="149">
        <f>((LOOKUP(DATA!F16,DATA!K2:K1494,DATA!N2:N1494)))</f>
        <v>4018316.347</v>
      </c>
      <c r="E5" s="150">
        <f>((LOOKUP(DATA!F16,DATA!K2:K1494,DATA!O2:O1494)))</f>
        <v>967.881</v>
      </c>
      <c r="F5" s="161">
        <f>((LOOKUP(DATA!J16,DATA!K2:K1494,DATA!M2:M1494)))</f>
        <v>733176.936</v>
      </c>
      <c r="G5" s="151">
        <f>((LOOKUP(DATA!J16,DATA!K2:K1494,DATA!N2:N1494)))</f>
        <v>4018316.347</v>
      </c>
      <c r="H5" s="151">
        <f>((LOOKUP(DATA!J16,DATA!K2:K1494,DATA!O2:O1494)))</f>
        <v>967.874</v>
      </c>
      <c r="I5" s="152">
        <f>DATA!G16/100</f>
        <v>0.0</v>
      </c>
      <c r="J5" s="158">
        <f>'فرم نقشه برداری'!X9</f>
        <v>909.80000000001</v>
      </c>
      <c r="K5" s="159">
        <f>IF(SQRT((F5-C5)^2+(G5-D5)^2+(H5-E5)^2)=0,C5,C5+(I5/SQRT((F5-C5)^2+(G5-D5)^2+(H5-E5)^2))*(F5-C5))</f>
        <v>733176.936</v>
      </c>
      <c r="L5" s="159">
        <f>IF(SQRT((F5-C5)^2+(G5-D5)^2+(H5-E5)^2)=0,D5,D5+(I5/SQRT((F5-C5)^2+(G5-D5)^2+(H5-E5)^2))*(G5-D5))</f>
        <v>4018316.347</v>
      </c>
      <c r="M5" s="159">
        <f>IF(SQRT((F5-C5)^2+(G5-D5)^2+(H5-E5)^2)=0,E5,E5+(I5/SQRT((F5-C5)^2+(G5-D5)^2+(H5-E5)^2))*(H5-E5))</f>
        <v>967.881</v>
      </c>
      <c r="N5" s="38">
        <f>'فرم نقشه برداری'!Y9</f>
        <v>0.0</v>
      </c>
    </row>
    <row r="6" spans="8:8" ht="15.0" customHeight="1">
      <c r="A6" s="1">
        <f>IF(N6&gt;0,1,0)</f>
        <v>0.0</v>
      </c>
      <c r="B6" s="1" t="str">
        <f>B5</f>
        <v>0607</v>
      </c>
      <c r="C6" s="149">
        <f>((LOOKUP(DATA!F19,DATA!K2:K1494,DATA!M2:M1494)))</f>
        <v>733176.936</v>
      </c>
      <c r="D6" s="149">
        <f>((LOOKUP(DATA!F19,DATA!K2:K1494,DATA!N2:N1494)))</f>
        <v>4018316.347</v>
      </c>
      <c r="E6" s="150">
        <f>((LOOKUP(DATA!F19,DATA!K2:K1494,DATA!O2:O1494)))</f>
        <v>967.881</v>
      </c>
      <c r="F6" s="151">
        <f>((LOOKUP(DATA!J19,DATA!K2:K1494,DATA!M2:M1494)))</f>
        <v>733176.936</v>
      </c>
      <c r="G6" s="151">
        <f>((LOOKUP(DATA!J19,DATA!K2:K1494,DATA!N2:N1494)))</f>
        <v>4018316.347</v>
      </c>
      <c r="H6" s="151">
        <f>((LOOKUP(DATA!J19,DATA!K2:K1494,DATA!O2:O1494)))</f>
        <v>967.874</v>
      </c>
      <c r="I6" s="152">
        <f>DATA!G19/100</f>
        <v>0.0</v>
      </c>
      <c r="J6" s="158">
        <f>'فرم نقشه برداری'!X10</f>
        <v>909.80000000001</v>
      </c>
      <c r="K6" s="159">
        <f>IF(SQRT((F6-C6)^2+(G6-D6)^2+(H6-E6)^2)=0,C6,C6+(I6/SQRT((F6-C6)^2+(G6-D6)^2+(H6-E6)^2))*(F6-C6))</f>
        <v>733176.936</v>
      </c>
      <c r="L6" s="159">
        <f>IF(SQRT((F6-C6)^2+(G6-D6)^2+(H6-E6)^2)=0,D6,D6+(I6/SQRT((F6-C6)^2+(G6-D6)^2+(H6-E6)^2))*(G6-D6))</f>
        <v>4018316.347</v>
      </c>
      <c r="M6" s="159">
        <f>IF(SQRT((F6-C6)^2+(G6-D6)^2+(H6-E6)^2)=0,E6,E6+(I6/SQRT((F6-C6)^2+(G6-D6)^2+(H6-E6)^2))*(H6-E6))</f>
        <v>967.881</v>
      </c>
      <c r="N6" s="38">
        <f>'فرم نقشه برداری'!Y10</f>
        <v>0.0</v>
      </c>
    </row>
    <row r="7" spans="8:8" ht="15.0" customHeight="1">
      <c r="A7" s="1">
        <f>IF(N7&gt;0,1,0)</f>
        <v>0.0</v>
      </c>
      <c r="B7" s="1" t="str">
        <f>B6</f>
        <v>0607</v>
      </c>
      <c r="C7" s="149">
        <f>((LOOKUP(DATA!F22,DATA!K2:K1494,DATA!M2:M1494)))</f>
        <v>0.0</v>
      </c>
      <c r="D7" s="149">
        <f>((LOOKUP(DATA!F22,DATA!K2:K1494,DATA!N2:N1494)))</f>
        <v>0.0</v>
      </c>
      <c r="E7" s="150">
        <f>((LOOKUP(DATA!F22,DATA!K2:K1494,DATA!O2:O1494)))</f>
        <v>0.0</v>
      </c>
      <c r="F7" s="151">
        <f>((LOOKUP(DATA!J22,DATA!K2:K1494,DATA!M2:M1494)))</f>
        <v>0.0</v>
      </c>
      <c r="G7" s="151">
        <f>((LOOKUP(DATA!J22,DATA!K2:K1494,DATA!N2:N1494)))</f>
        <v>0.0</v>
      </c>
      <c r="H7" s="151">
        <f>((LOOKUP(DATA!J22,DATA!K2:K1494,DATA!O2:O1494)))</f>
        <v>0.0</v>
      </c>
      <c r="I7" s="152">
        <f>DATA!G22/100</f>
        <v>0.0</v>
      </c>
      <c r="J7" s="158">
        <f>'فرم نقشه برداری'!X11</f>
        <v>1200.0</v>
      </c>
      <c r="K7" s="159">
        <f>IF(SQRT((F7-C7)^2+(G7-D7)^2+(H7-E7)^2)=0,C7,C7+(I7/SQRT((F7-C7)^2+(G7-D7)^2+(H7-E7)^2))*(F7-C7))</f>
        <v>0.0</v>
      </c>
      <c r="L7" s="159">
        <f>IF(SQRT((F7-C7)^2+(G7-D7)^2+(H7-E7)^2)=0,D7,D7+(I7/SQRT((F7-C7)^2+(G7-D7)^2+(H7-E7)^2))*(G7-D7))</f>
        <v>0.0</v>
      </c>
      <c r="M7" s="159">
        <f>IF(SQRT((F7-C7)^2+(G7-D7)^2+(H7-E7)^2)=0,E7,E7+(I7/SQRT((F7-C7)^2+(G7-D7)^2+(H7-E7)^2))*(H7-E7))</f>
        <v>0.0</v>
      </c>
      <c r="N7" s="38">
        <f>'فرم نقشه برداری'!Y11</f>
        <v>0.0</v>
      </c>
    </row>
    <row r="8" spans="8:8" ht="15.0" customHeight="1">
      <c r="A8" s="1">
        <f>IF(N8&gt;0,1,0)</f>
        <v>0.0</v>
      </c>
      <c r="B8" s="1" t="str">
        <f>B7</f>
        <v>0607</v>
      </c>
      <c r="C8" s="149">
        <f>((LOOKUP(DATA!F25,DATA!K2:K1494,DATA!M2:M1494)))</f>
        <v>0.0</v>
      </c>
      <c r="D8" s="149">
        <f>((LOOKUP(DATA!F25,DATA!K2:K1494,DATA!N2:N1494)))</f>
        <v>0.0</v>
      </c>
      <c r="E8" s="150">
        <f>((LOOKUP(DATA!F25,DATA!K2:K1494,DATA!O2:O1494)))</f>
        <v>0.0</v>
      </c>
      <c r="F8" s="151">
        <f>((LOOKUP(DATA!J25,DATA!K2:K1494,DATA!M2:M1494)))</f>
        <v>0.0</v>
      </c>
      <c r="G8" s="151">
        <f>((LOOKUP(DATA!J25,DATA!K2:K1494,DATA!N2:N1494)))</f>
        <v>0.0</v>
      </c>
      <c r="H8" s="151">
        <f>((LOOKUP(DATA!J25,DATA!K2:K1494,DATA!O2:O1494)))</f>
        <v>0.0</v>
      </c>
      <c r="I8" s="152">
        <f>DATA!G25/100</f>
        <v>0.0</v>
      </c>
      <c r="J8" s="158">
        <f>'فرم نقشه برداری'!X12</f>
        <v>1200.0</v>
      </c>
      <c r="K8" s="159">
        <f>IF(SQRT((F8-C8)^2+(G8-D8)^2+(H8-E8)^2)=0,C8,C8+(I8/SQRT((F8-C8)^2+(G8-D8)^2+(H8-E8)^2))*(F8-C8))</f>
        <v>0.0</v>
      </c>
      <c r="L8" s="159">
        <f>IF(SQRT((F8-C8)^2+(G8-D8)^2+(H8-E8)^2)=0,D8,D8+(I8/SQRT((F8-C8)^2+(G8-D8)^2+(H8-E8)^2))*(G8-D8))</f>
        <v>0.0</v>
      </c>
      <c r="M8" s="159">
        <f>IF(SQRT((F8-C8)^2+(G8-D8)^2+(H8-E8)^2)=0,E8,E8+(I8/SQRT((F8-C8)^2+(G8-D8)^2+(H8-E8)^2))*(H8-E8))</f>
        <v>0.0</v>
      </c>
      <c r="N8" s="38">
        <f>'فرم نقشه برداری'!Y12</f>
        <v>0.0</v>
      </c>
    </row>
    <row r="9" spans="8:8" ht="15.0" customHeight="1">
      <c r="F9" s="161"/>
    </row>
  </sheetData>
  <pageMargins left="0.7" right="0.7" top="0.75" bottom="0.75" header="0.511811023622047" footer="0.511811023622047"/>
</worksheet>
</file>

<file path=xl/worksheets/sheet5.xml><?xml version="1.0" encoding="utf-8"?>
<worksheet xmlns:r="http://schemas.openxmlformats.org/officeDocument/2006/relationships" xmlns="http://schemas.openxmlformats.org/spreadsheetml/2006/main">
  <dimension ref="A1:Z4"/>
  <sheetViews>
    <sheetView workbookViewId="0" rightToLeft="1" zoomScale="85">
      <selection activeCell="C11" sqref="C11"/>
    </sheetView>
  </sheetViews>
  <sheetFormatPr defaultRowHeight="15.0" defaultColWidth="10" zeroHeight="1"/>
  <cols>
    <col min="1" max="2" customWidth="1" width="9.136719" style="102"/>
    <col min="3" max="3" customWidth="1" width="5.7070312" style="102"/>
    <col min="4" max="5" customWidth="1" width="9.136719" style="102"/>
    <col min="6" max="6" customWidth="1" width="8.1484375" style="102"/>
    <col min="7" max="7" customWidth="1" width="6.1367188" style="102"/>
    <col min="8" max="10" customWidth="1" width="9.136719" style="102"/>
    <col min="11" max="11" customWidth="1" width="6.1367188" style="102"/>
    <col min="12" max="14" customWidth="1" width="9.136719" style="102"/>
    <col min="15" max="15" customWidth="1" width="6.1367188" style="102"/>
    <col min="16" max="18" customWidth="1" width="9.136719" style="102"/>
    <col min="19" max="19" customWidth="1" width="6.1367188" style="102"/>
    <col min="20" max="22" customWidth="1" width="9.136719" style="102"/>
    <col min="23" max="23" customWidth="1" width="6.1367188" style="102"/>
    <col min="24" max="24" customWidth="1" width="17.289062" style="1"/>
  </cols>
  <sheetData>
    <row r="1" spans="8:8" ht="15.0" customHeight="1">
      <c r="A1" s="162">
        <v>75.95</v>
      </c>
      <c r="B1" s="163">
        <f>E1-A1</f>
        <v>177.63</v>
      </c>
      <c r="C1" s="163"/>
      <c r="D1" s="163"/>
      <c r="E1" s="162">
        <v>253.58</v>
      </c>
      <c r="F1" s="163">
        <f>I1-E1</f>
        <v>415.91999999999996</v>
      </c>
      <c r="G1" s="163"/>
      <c r="H1" s="163"/>
      <c r="I1" s="162">
        <v>669.5</v>
      </c>
      <c r="J1" s="163">
        <f>M1-I1</f>
        <v>233.26</v>
      </c>
      <c r="K1" s="163"/>
      <c r="L1" s="163"/>
      <c r="M1" s="162">
        <v>902.76</v>
      </c>
      <c r="N1" s="163">
        <f>Q1-M1</f>
        <v>196.79999999999995</v>
      </c>
      <c r="O1" s="163"/>
      <c r="P1" s="163"/>
      <c r="Q1" s="162">
        <v>1099.56</v>
      </c>
      <c r="R1" s="163">
        <f>U1-Q1</f>
        <v>238.28999999999996</v>
      </c>
      <c r="S1" s="163"/>
      <c r="T1" s="163"/>
      <c r="U1" s="162">
        <v>1337.85</v>
      </c>
      <c r="V1" s="112">
        <f>V2-U1</f>
        <v>148.7800000000002</v>
      </c>
      <c r="W1" s="112"/>
      <c r="X1" s="164" t="s">
        <v>436</v>
      </c>
    </row>
    <row r="2" spans="8:8" ht="15.0" customHeight="1">
      <c r="A2" s="165" t="s">
        <v>437</v>
      </c>
      <c r="B2" s="166">
        <v>75.95</v>
      </c>
      <c r="C2" s="102" t="s">
        <v>438</v>
      </c>
      <c r="D2" s="166">
        <f>'فرم نقشه برداری'!Y20</f>
        <v>0.0</v>
      </c>
      <c r="E2" s="165" t="s">
        <v>23</v>
      </c>
      <c r="F2" s="166">
        <f>'فرم نقشه برداری'!Y21</f>
        <v>0.0</v>
      </c>
      <c r="G2" s="102" t="s">
        <v>438</v>
      </c>
      <c r="H2" s="102">
        <f>'فرم نقشه برداری'!Y22</f>
        <v>0.0</v>
      </c>
      <c r="I2" s="165" t="s">
        <v>25</v>
      </c>
      <c r="J2" s="102">
        <v>760.03</v>
      </c>
      <c r="K2" s="102" t="s">
        <v>438</v>
      </c>
      <c r="L2" s="102">
        <v>760.03</v>
      </c>
      <c r="M2" s="165" t="s">
        <v>439</v>
      </c>
      <c r="N2" s="102">
        <v>1015.23</v>
      </c>
      <c r="O2" s="102" t="s">
        <v>438</v>
      </c>
      <c r="P2" s="102">
        <v>1015.23</v>
      </c>
      <c r="Q2" s="165" t="s">
        <v>440</v>
      </c>
      <c r="R2" s="102">
        <v>1203.16</v>
      </c>
      <c r="S2" s="102" t="s">
        <v>438</v>
      </c>
      <c r="T2" s="102">
        <v>1203.16</v>
      </c>
      <c r="U2" s="165" t="s">
        <v>441</v>
      </c>
      <c r="V2" s="102">
        <v>1486.63</v>
      </c>
      <c r="W2" s="102" t="s">
        <v>438</v>
      </c>
      <c r="X2" s="164" t="s">
        <v>442</v>
      </c>
    </row>
    <row r="3" spans="8:8" ht="15.0" customHeight="1">
      <c r="A3" s="167" t="s">
        <v>443</v>
      </c>
      <c r="B3" s="167">
        <v>0.0</v>
      </c>
      <c r="C3" s="168" t="s">
        <v>7</v>
      </c>
      <c r="D3" s="169">
        <f>E1-D2</f>
        <v>253.58</v>
      </c>
      <c r="E3" s="167" t="s">
        <v>443</v>
      </c>
      <c r="F3" s="167">
        <f>F2-E1</f>
        <v>-253.58</v>
      </c>
      <c r="G3" s="168" t="s">
        <v>7</v>
      </c>
      <c r="H3" s="167">
        <f>I1-H2</f>
        <v>669.5</v>
      </c>
      <c r="I3" s="167" t="s">
        <v>443</v>
      </c>
      <c r="J3" s="167">
        <f>J2-I1</f>
        <v>90.52999999999997</v>
      </c>
      <c r="K3" s="168" t="s">
        <v>7</v>
      </c>
      <c r="L3" s="167">
        <f>M1-L2</f>
        <v>142.73000000000002</v>
      </c>
      <c r="M3" s="167" t="s">
        <v>443</v>
      </c>
      <c r="N3" s="167">
        <f>N2-M1</f>
        <v>112.47000000000003</v>
      </c>
      <c r="O3" s="168" t="s">
        <v>7</v>
      </c>
      <c r="P3" s="167">
        <f>Q1-P2</f>
        <v>84.32999999999993</v>
      </c>
      <c r="Q3" s="167" t="s">
        <v>443</v>
      </c>
      <c r="R3" s="167">
        <f>R2-Q1</f>
        <v>103.60000000000014</v>
      </c>
      <c r="S3" s="168" t="s">
        <v>7</v>
      </c>
      <c r="T3" s="167">
        <f>U1-T2</f>
        <v>134.68999999999983</v>
      </c>
      <c r="U3" s="167" t="s">
        <v>443</v>
      </c>
      <c r="V3" s="167">
        <f>V2-U1</f>
        <v>148.7800000000002</v>
      </c>
      <c r="W3" s="168" t="s">
        <v>7</v>
      </c>
      <c r="X3" s="170" t="s">
        <v>444</v>
      </c>
    </row>
    <row r="4" spans="8:8" ht="15.0" customHeight="1">
      <c r="C4" s="171">
        <f>D2-B2</f>
        <v>-75.95</v>
      </c>
      <c r="G4" s="168">
        <f>H2-F2</f>
        <v>0.0</v>
      </c>
      <c r="K4" s="168">
        <v>0.0</v>
      </c>
      <c r="O4" s="168">
        <v>0.0</v>
      </c>
      <c r="S4" s="168">
        <v>0.0</v>
      </c>
      <c r="W4" s="168">
        <v>0.0</v>
      </c>
    </row>
  </sheetData>
  <mergeCells count="6">
    <mergeCell ref="B1:D1"/>
    <mergeCell ref="F1:H1"/>
    <mergeCell ref="J1:L1"/>
    <mergeCell ref="N1:P1"/>
    <mergeCell ref="R1:T1"/>
    <mergeCell ref="V1:W1"/>
  </mergeCells>
  <pageMargins left="0.7" right="0.7" top="0.75" bottom="0.75" header="0.511811023622047" footer="0.511811023622047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cp:lastModifiedBy>BONYAN-SURVEYOR</cp:lastModifiedBy>
  <dcterms:created xsi:type="dcterms:W3CDTF">2019-03-01T07:17:59Z</dcterms:created>
  <dcterms:modified xsi:type="dcterms:W3CDTF">2026-08-31T08:03:01Z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ae2f31b589a34422a112a1893df9d00a_23</vt:lpwstr>
  </property>
</Properties>
</file>